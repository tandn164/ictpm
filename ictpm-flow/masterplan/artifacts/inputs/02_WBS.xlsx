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Gantt" sheetId="2" r:id="rId5"/>
  </sheets>
  <definedNames>
    <definedName hidden="1" localSheetId="0" name="_xlnm._FilterDatabase">WBS!$A$1:$F$199</definedName>
  </definedNames>
  <calcPr/>
  <extLst>
    <ext uri="GoogleSheetsCustomDataVersion2">
      <go:sheetsCustomData xmlns:go="http://customooxmlschemas.google.com/" r:id="rId6" roundtripDataChecksum="isBi3RlBel3oS8jmfy+Je3hbaknpaNV6NscghZiwWuE="/>
    </ext>
  </extLst>
</workbook>
</file>

<file path=xl/sharedStrings.xml><?xml version="1.0" encoding="utf-8"?>
<sst xmlns="http://schemas.openxmlformats.org/spreadsheetml/2006/main" count="741" uniqueCount="541">
  <si>
    <t>Mã WBS</t>
  </si>
  <si>
    <t>Tên công việc / Hoạt động</t>
  </si>
  <si>
    <t>Sản phẩm bàn giao</t>
  </si>
  <si>
    <t>Phụ trách</t>
  </si>
  <si>
    <t>Bắt đầu</t>
  </si>
  <si>
    <t>Kết thúc</t>
  </si>
  <si>
    <t>1</t>
  </si>
  <si>
    <t>Quản lý dự án</t>
  </si>
  <si>
    <t>Hồ sơ quản lý dự án</t>
  </si>
  <si>
    <t>PM</t>
  </si>
  <si>
    <t>1.1</t>
  </si>
  <si>
    <t xml:space="preserve">   Khởi động dự án</t>
  </si>
  <si>
    <t>Project Charter, biên bản kick-off</t>
  </si>
  <si>
    <t>1.1.1</t>
  </si>
  <si>
    <t xml:space="preserve">      Lập Điều lệ dự án (Project Charter)</t>
  </si>
  <si>
    <t>Project Charter</t>
  </si>
  <si>
    <t>1.1.2</t>
  </si>
  <si>
    <t xml:space="preserve">      Lập ma trận RACI</t>
  </si>
  <si>
    <t>RACI</t>
  </si>
  <si>
    <t>1.1.3</t>
  </si>
  <si>
    <t xml:space="preserve">      Tổ chức họp khởi động (Kick-off)</t>
  </si>
  <si>
    <t>Biên bản kick-off</t>
  </si>
  <si>
    <t>1.2</t>
  </si>
  <si>
    <t xml:space="preserve">   Lập kế hoạch dự án</t>
  </si>
  <si>
    <t>WBS, Master Plan
Master Schedule; Cost Baseline
Quality Plan; Change Management Plan</t>
  </si>
  <si>
    <t>1.2.1</t>
  </si>
  <si>
    <t xml:space="preserve">      Lập WBS,  Master Plan</t>
  </si>
  <si>
    <t>WBS, Master Plan</t>
  </si>
  <si>
    <t>1.2.2</t>
  </si>
  <si>
    <t xml:space="preserve">      Lập đường cơ sở tiến độ &amp; chi phí</t>
  </si>
  <si>
    <t>Master Schedule; Cost Baseline</t>
  </si>
  <si>
    <t>1.2.3</t>
  </si>
  <si>
    <t xml:space="preserve">      Kế hoạch chất lượng &amp; quản lý thay đổi</t>
  </si>
  <si>
    <t>Quality Plan; Change Management Plan</t>
  </si>
  <si>
    <t>1.3</t>
  </si>
  <si>
    <t xml:space="preserve">   Giám sát &amp; kiểm soát (LOE)</t>
  </si>
  <si>
    <t>Báo cáo, quyết định kiểm soát</t>
  </si>
  <si>
    <t>1.3.1</t>
  </si>
  <si>
    <t xml:space="preserve">      Báo cáo tiến độ tuần &amp; họp tiến độ</t>
  </si>
  <si>
    <t>Weekly Report</t>
  </si>
  <si>
    <t>1.3.2</t>
  </si>
  <si>
    <t xml:space="preserve">      Quản lý rủi ro &amp; vấn đề</t>
  </si>
  <si>
    <t>Risk/Issue Log</t>
  </si>
  <si>
    <t>1.4</t>
  </si>
  <si>
    <t xml:space="preserve">   Kết thúc dự án</t>
  </si>
  <si>
    <t>Hồ sơ nghiệm thu, bài học kinh nghiệm, Báo cáo tổng kết dự án, Báo cáo đánh giá dự án</t>
  </si>
  <si>
    <t>1.4.1</t>
  </si>
  <si>
    <t xml:space="preserve">      Nghiệm thu tổng thể &amp; bàn giao hồ sơ</t>
  </si>
  <si>
    <t>Biên bản nghiệm thu tổng thể, Báo cáo đánh giá dự án</t>
  </si>
  <si>
    <t>1.4.2</t>
  </si>
  <si>
    <t xml:space="preserve">      Bài học kinh nghiệm &amp; đóng hồ sơ dự án</t>
  </si>
  <si>
    <t>Báo cáo bài học kinh nghiệm, Báo cáo tổng kết dự án</t>
  </si>
  <si>
    <t>2</t>
  </si>
  <si>
    <t>Phân tích hệ thống (System Analysis)</t>
  </si>
  <si>
    <t>SRS</t>
  </si>
  <si>
    <t>BA</t>
  </si>
  <si>
    <t>2.1</t>
  </si>
  <si>
    <t xml:space="preserve">   Khảo sát hiện trạng (AS-IS)</t>
  </si>
  <si>
    <t>Báo cáo khảo sát hiện trạng</t>
  </si>
  <si>
    <t>2.1.1</t>
  </si>
  <si>
    <t xml:space="preserve">      Họp phân tích yêu cầu với nghiệp vụ và các bên liên quan</t>
  </si>
  <si>
    <t>Biên bản workshop</t>
  </si>
  <si>
    <t>2.1.2</t>
  </si>
  <si>
    <t xml:space="preserve">      Khảo sát hệ thống</t>
  </si>
  <si>
    <t>Báo cáo khảo sát hệ thống cũ</t>
  </si>
  <si>
    <t>2.1.3</t>
  </si>
  <si>
    <t xml:space="preserve">      Lập báo cáo hiện trạng (AS-IS)</t>
  </si>
  <si>
    <t>Báo cáo AS-IS</t>
  </si>
  <si>
    <t>2.2</t>
  </si>
  <si>
    <t xml:space="preserve">   Đặc tả yêu cầu chức năng (SRS)</t>
  </si>
  <si>
    <t>SRS – Specification</t>
  </si>
  <si>
    <t>BIỂU ĐỒ GANTT THEO TUẦN (liên kết sheet WBS)</t>
  </si>
  <si>
    <t>2.2.1</t>
  </si>
  <si>
    <t xml:space="preserve">      SRS – Quản lý sản phẩm (tìm kiếm, danh mục, chi tiết, tồn kho)</t>
  </si>
  <si>
    <t>SRS Quản lý sản phẩm</t>
  </si>
  <si>
    <t>2.2.2</t>
  </si>
  <si>
    <t xml:space="preserve">      SRS – Quản lý đơn hàng (giỏ hàng, đặt hàng, thanh toán, hủy đơn)</t>
  </si>
  <si>
    <t>SRS Quản lý đơn hàng</t>
  </si>
  <si>
    <t>Thanh tự vẽ theo ngày trong sheet WBS. Xanh đậm = giai đoạn (cấp 1), xanh nhạt = công việc. Cột cam = tuần Cut-over 01/07. Dùng +/− để thu gọn theo cấp.</t>
  </si>
  <si>
    <t>2.2.3</t>
  </si>
  <si>
    <t xml:space="preserve">      SRS – Quản lý khách hàng (đăng ký, đăng nhập, hồ sơ, dữ liệu cá nhân)</t>
  </si>
  <si>
    <t>SRS Quản lý khách hàng</t>
  </si>
  <si>
    <t>2.2.5</t>
  </si>
  <si>
    <t xml:space="preserve">      SRS – Tích hợp hệ thống (Main System, chi nhánh, vận chuyển)</t>
  </si>
  <si>
    <t>SRS Tích hợp</t>
  </si>
  <si>
    <t>Tên công việc</t>
  </si>
  <si>
    <t>2.3</t>
  </si>
  <si>
    <t xml:space="preserve">   Đặc tả yêu cầu phi chức năng (24/7, ≤ 2 giây, bảo mật, dữ liệu cá nhân)</t>
  </si>
  <si>
    <t>NFR Specification</t>
  </si>
  <si>
    <t>SA</t>
  </si>
  <si>
    <t>2.4</t>
  </si>
  <si>
    <t xml:space="preserve">   Thiết kế quy trình nghiệp vụ</t>
  </si>
  <si>
    <t>SRS Quy trình nghiệp vụ</t>
  </si>
  <si>
    <t xml:space="preserve">   Rà soát &amp; phê duyệt SRS</t>
  </si>
  <si>
    <t>SRS được ký duyệt</t>
  </si>
  <si>
    <t>3</t>
  </si>
  <si>
    <t>Thiết kế hệ thống</t>
  </si>
  <si>
    <t>Tài liệu thiết kế hệ thống SDD</t>
  </si>
  <si>
    <t>3.1</t>
  </si>
  <si>
    <t xml:space="preserve">   Thiết kế kiến trúc &amp; hạ tầng (HLD)</t>
  </si>
  <si>
    <t>Tài liệu kiến trúc hệ thống</t>
  </si>
  <si>
    <t>3.1.1</t>
  </si>
  <si>
    <t xml:space="preserve">      Thiết kế kiến trúc ứng dụng &amp; phương án sẵn sàng 24/7</t>
  </si>
  <si>
    <t>Sơ đồ kiến trúc, phương án HA</t>
  </si>
  <si>
    <t>3.1.2</t>
  </si>
  <si>
    <t xml:space="preserve">      Tính toán quy mô hạ tầng &amp; phương án mở rộng</t>
  </si>
  <si>
    <t>Sizing &amp; scaling plan</t>
  </si>
  <si>
    <t>3.1.3</t>
  </si>
  <si>
    <t xml:space="preserve">      Thiết kế an toàn thông tin &amp; bảo vệ dữ liệu cá nhân</t>
  </si>
  <si>
    <t>Security Design</t>
  </si>
  <si>
    <t>3.1.4</t>
  </si>
  <si>
    <t xml:space="preserve">      Thiết kế giám sát, sao lưu &amp; phục hồi</t>
  </si>
  <si>
    <t>Monitoring &amp; Backup Design</t>
  </si>
  <si>
    <t>OPS</t>
  </si>
  <si>
    <t>3.2</t>
  </si>
  <si>
    <t xml:space="preserve">   Thiết kế cơ sở dữ liệu</t>
  </si>
  <si>
    <t>Data Model Design, Data Dictionary</t>
  </si>
  <si>
    <t>3.2.1</t>
  </si>
  <si>
    <t xml:space="preserve">      Mô hình dữ liệu logic &amp; vật lý (ERD)</t>
  </si>
  <si>
    <t>ERD</t>
  </si>
  <si>
    <t>3.2.2</t>
  </si>
  <si>
    <t xml:space="preserve">      Từ điển dữ liệu, chỉ mục &amp; phân quyền truy cập</t>
  </si>
  <si>
    <t>Data Dictionary</t>
  </si>
  <si>
    <t>DEV</t>
  </si>
  <si>
    <t>3.3</t>
  </si>
  <si>
    <t xml:space="preserve">   Thiết kế UI/UX</t>
  </si>
  <si>
    <t>Menu Layer, wireframe, mockup</t>
  </si>
  <si>
    <t>UX</t>
  </si>
  <si>
    <t>3.3.1</t>
  </si>
  <si>
    <t xml:space="preserve">      Sơ đồ trang &amp; Menu Layer</t>
  </si>
  <si>
    <t>Menu Layer / Sitemap</t>
  </si>
  <si>
    <t>3.3.2</t>
  </si>
  <si>
    <t xml:space="preserve">      Wireframe luồng mua hàng</t>
  </si>
  <si>
    <t>Wireframe</t>
  </si>
  <si>
    <t>3.3.3</t>
  </si>
  <si>
    <t xml:space="preserve">      Mockup màn hình Quản lý sản phẩm</t>
  </si>
  <si>
    <t>UI Mockup sản phẩm</t>
  </si>
  <si>
    <t>3.3.4</t>
  </si>
  <si>
    <t xml:space="preserve">      Mockup màn hình Đơn hàng &amp; Thanh toán</t>
  </si>
  <si>
    <t>UI Mockup đơn hàng</t>
  </si>
  <si>
    <t>3.3.5</t>
  </si>
  <si>
    <t xml:space="preserve">      Mockup màn hình Quản lý khách hàng</t>
  </si>
  <si>
    <t>UI Mockup khách hàng</t>
  </si>
  <si>
    <t>3.3.6</t>
  </si>
  <si>
    <t xml:space="preserve">      Kiểm tra, duyệt thiết kế mockup</t>
  </si>
  <si>
    <t>Biên bản duyệt mockup</t>
  </si>
  <si>
    <t>3.4</t>
  </si>
  <si>
    <t xml:space="preserve">   Thiết kế tích hợp hệ thống</t>
  </si>
  <si>
    <t>Tài liệu kiến trúc tích hợp, Tài liệu đặc tả API</t>
  </si>
  <si>
    <t>3.4.1</t>
  </si>
  <si>
    <t xml:space="preserve">      Xác định mô hình tích hợp (API Gateway, ESB, Point-to-Point...), phương thức tích hợp (REST/GraphQL cho đồng bộ, Kafka/RabbitMQ cho bất đồng bộ)</t>
  </si>
  <si>
    <t>Biên bản thống nhất phương thức, tài liệu kiến trúc tích hợp</t>
  </si>
  <si>
    <t>3.4.3</t>
  </si>
  <si>
    <t xml:space="preserve">      Lập danh sách các API/Web Service</t>
  </si>
  <si>
    <t>Danh sách API/Web Service</t>
  </si>
  <si>
    <t>3.4.4</t>
  </si>
  <si>
    <t xml:space="preserve">      Đặc tả thiết kế API cho các phân hệ sản phẩm, đơn hàng, khách hàng</t>
  </si>
  <si>
    <t>Tài liệu đặc tả API</t>
  </si>
  <si>
    <t>3.5</t>
  </si>
  <si>
    <t xml:space="preserve">   Thiết kế chi tiết (LLD)</t>
  </si>
  <si>
    <t>Detail Design theo module</t>
  </si>
  <si>
    <t>3.5.1</t>
  </si>
  <si>
    <t xml:space="preserve">      LLD – Quản lý sản phẩm</t>
  </si>
  <si>
    <t>LLD sản phẩm</t>
  </si>
  <si>
    <t>3.5.2</t>
  </si>
  <si>
    <t xml:space="preserve">      LLD – Quản lý đơn hàng &amp; thanh toán</t>
  </si>
  <si>
    <t>LLD đơn hàng</t>
  </si>
  <si>
    <t>3.5.3</t>
  </si>
  <si>
    <t xml:space="preserve">      LLD – Quản lý khách hàng</t>
  </si>
  <si>
    <t>LLD khách hàng</t>
  </si>
  <si>
    <t>3.5.5</t>
  </si>
  <si>
    <t xml:space="preserve">      LLD – Tích hợp hệ thống</t>
  </si>
  <si>
    <t>LLD tích hợp</t>
  </si>
  <si>
    <t>3.6</t>
  </si>
  <si>
    <t xml:space="preserve">   Rà soát &amp; phê duyệt thiết kế</t>
  </si>
  <si>
    <t>Biên bản duyệt thiết kế (M2)</t>
  </si>
  <si>
    <t>3.6.1</t>
  </si>
  <si>
    <t xml:space="preserve">      Rà soát thiết kế</t>
  </si>
  <si>
    <t>Biên bản rà soát</t>
  </si>
  <si>
    <t>3.6.2</t>
  </si>
  <si>
    <t xml:space="preserve">      Phê duyệt bộ tài liệu thiết kế (M2)</t>
  </si>
  <si>
    <t>Tài liệu thiết kế ký duyệt</t>
  </si>
  <si>
    <t>4</t>
  </si>
  <si>
    <t>Xây dựng, Phát triển hệ thống</t>
  </si>
  <si>
    <t>Mã nguồn, cấu hình, bản build</t>
  </si>
  <si>
    <t>4.1</t>
  </si>
  <si>
    <t xml:space="preserve">   Môi trường &amp; khung ứng dụng</t>
  </si>
  <si>
    <t>Môi trường, CI/CD, thành phần dùng chung</t>
  </si>
  <si>
    <t>4.1.1</t>
  </si>
  <si>
    <t xml:space="preserve">      Thiết lập môi trường DEV &amp; SIT</t>
  </si>
  <si>
    <t>Môi trường DEV/SIT</t>
  </si>
  <si>
    <t>4.1.2</t>
  </si>
  <si>
    <t xml:space="preserve">      Thiết lập môi trường UAT</t>
  </si>
  <si>
    <t>Môi trường UAT</t>
  </si>
  <si>
    <t>4.1.3</t>
  </si>
  <si>
    <t xml:space="preserve">      Thiết lập môi trường PROD (cân bằng tải, CDN, WAF)</t>
  </si>
  <si>
    <t>Môi trường PROD</t>
  </si>
  <si>
    <t>4.1.4</t>
  </si>
  <si>
    <t xml:space="preserve">      Thiết lập pipeline CI/CD</t>
  </si>
  <si>
    <t>Pipeline CI/CD</t>
  </si>
  <si>
    <t>4.1.5</t>
  </si>
  <si>
    <t xml:space="preserve">      Cấu hình giám sát, cảnh báo &amp; sao lưu</t>
  </si>
  <si>
    <t>Hệ thống giám sát, lịch sao lưu</t>
  </si>
  <si>
    <t>4.1.6</t>
  </si>
  <si>
    <t xml:space="preserve">      Xây dựng khung ứng dụng &amp; thư viện dùng chung Front-end</t>
  </si>
  <si>
    <t>Khung FE</t>
  </si>
  <si>
    <t>4.1.7</t>
  </si>
  <si>
    <t xml:space="preserve">      Xây dựng thành phần dùng chung Back-end (log, cấu hình, xử lý lỗi, bảo mật)</t>
  </si>
  <si>
    <t>Khung BE</t>
  </si>
  <si>
    <t>4.1.8</t>
  </si>
  <si>
    <t xml:space="preserve">      Hiện thực DB (DDL, chỉ mục, phân quyền)</t>
  </si>
  <si>
    <t>Script CSDL</t>
  </si>
  <si>
    <t>4.2</t>
  </si>
  <si>
    <t xml:space="preserve">  Chức năng Quản lý khách hàng</t>
  </si>
  <si>
    <t>Module quản lý khách hàng</t>
  </si>
  <si>
    <t>4.2.1</t>
  </si>
  <si>
    <t xml:space="preserve">      Đăng ký tài khoản</t>
  </si>
  <si>
    <t>Chức năng đăng ký</t>
  </si>
  <si>
    <t>4.2.1.1</t>
  </si>
  <si>
    <t xml:space="preserve">         Xây dựng UI đăng ký tài khoản</t>
  </si>
  <si>
    <t>4.2.1.2</t>
  </si>
  <si>
    <t xml:space="preserve">         Xây dựng API đăng ký &amp; xác thực OTP</t>
  </si>
  <si>
    <t>4.2.1.3</t>
  </si>
  <si>
    <t xml:space="preserve">         Tích hợp UI – API đăng ký</t>
  </si>
  <si>
    <t>4.2.1.4</t>
  </si>
  <si>
    <t xml:space="preserve">         Kiểm thử đơn vị chức năng đăng ký</t>
  </si>
  <si>
    <t>4.2.2</t>
  </si>
  <si>
    <t xml:space="preserve">      Đăng nhập &amp; quản lý phiên</t>
  </si>
  <si>
    <t>Chức năng đăng nhập</t>
  </si>
  <si>
    <t>4.2.2.1</t>
  </si>
  <si>
    <t xml:space="preserve">         Xây dựng UI đăng nhập / đăng xuất</t>
  </si>
  <si>
    <t>4.2.2.2</t>
  </si>
  <si>
    <t xml:space="preserve">         Xây dựng API đăng nhập, refresh token</t>
  </si>
  <si>
    <t>4.2.2.3</t>
  </si>
  <si>
    <t xml:space="preserve">         Xử lý ngoại lệ 401/403 &amp; khóa tài khoản khi đăng nhập sai nhiều lần</t>
  </si>
  <si>
    <t>4.2.2.4</t>
  </si>
  <si>
    <t xml:space="preserve">         Tích hợp &amp; kiểm thử đơn vị chức năng đăng nhập</t>
  </si>
  <si>
    <t>4.2.3</t>
  </si>
  <si>
    <t xml:space="preserve">      Quên mật khẩu &amp; đổi mật khẩu</t>
  </si>
  <si>
    <t>Chức năng khôi phục mật khẩu</t>
  </si>
  <si>
    <t>4.2.3.1</t>
  </si>
  <si>
    <t xml:space="preserve">         Xây dựng UI quên/đổi mật khẩu</t>
  </si>
  <si>
    <t>4.2.3.2</t>
  </si>
  <si>
    <t xml:space="preserve">         Xây dựng API đặt lại mật khẩu (token hết hạn)</t>
  </si>
  <si>
    <t>4.2.3.3</t>
  </si>
  <si>
    <t xml:space="preserve">         Tích hợp &amp; kiểm thử đơn vị</t>
  </si>
  <si>
    <t>4.2.4</t>
  </si>
  <si>
    <t xml:space="preserve">      Hồ sơ cá nhân &amp; sổ địa chỉ giao hàng</t>
  </si>
  <si>
    <t>Chức năng hồ sơ khách hàng</t>
  </si>
  <si>
    <t>4.2.4.1</t>
  </si>
  <si>
    <t xml:space="preserve">         Xây dựng UI hồ sơ cá nhân &amp; sổ địa chỉ</t>
  </si>
  <si>
    <t>4.2.4.2</t>
  </si>
  <si>
    <t xml:space="preserve">         Xây dựng API cập nhật hồ sơ &amp; địa chỉ giao hàng</t>
  </si>
  <si>
    <t>4.2.4.3</t>
  </si>
  <si>
    <t>4.2.5</t>
  </si>
  <si>
    <t xml:space="preserve">      Lịch sử đơn hàng của thành viên</t>
  </si>
  <si>
    <t>Chức năng lịch sử đơn hàng</t>
  </si>
  <si>
    <t>4.2.5.1</t>
  </si>
  <si>
    <t xml:space="preserve">         Xây dựng UI lịch sử đơn hàng</t>
  </si>
  <si>
    <t>4.2.5.2</t>
  </si>
  <si>
    <t xml:space="preserve">         Xây dựng API truy vấn lịch sử đơn hàng</t>
  </si>
  <si>
    <t>4.2.5.3</t>
  </si>
  <si>
    <t>4.3</t>
  </si>
  <si>
    <t xml:space="preserve">   Chức năng Quản lý sản phẩm</t>
  </si>
  <si>
    <t>Module quản lý sản phẩm</t>
  </si>
  <si>
    <t>4.3.1</t>
  </si>
  <si>
    <t xml:space="preserve">      Tìm kiếm sản phẩm</t>
  </si>
  <si>
    <t>Chức năng tìm kiếm</t>
  </si>
  <si>
    <t>4.3.1.1</t>
  </si>
  <si>
    <t xml:space="preserve">         Xây dựng UI tìm kiếm &amp; gợi ý từ khóa</t>
  </si>
  <si>
    <t>4.3.1.2</t>
  </si>
  <si>
    <t xml:space="preserve">         Xây dựng API tìm kiếm</t>
  </si>
  <si>
    <t>4.3.1.3</t>
  </si>
  <si>
    <t xml:space="preserve">         Tích hợp API tìm kiếm</t>
  </si>
  <si>
    <t>4.3.1.4</t>
  </si>
  <si>
    <t xml:space="preserve">         Kiểm thử đơn vị chức năng tìm kiếm</t>
  </si>
  <si>
    <t>4.3.2</t>
  </si>
  <si>
    <t xml:space="preserve">      Danh mục &amp; bộ lọc sản phẩm</t>
  </si>
  <si>
    <t>Chức năng danh mục</t>
  </si>
  <si>
    <t>4.3.2.1</t>
  </si>
  <si>
    <t xml:space="preserve">         Xây dựng UI danh mục, bộ lọc (size, màu, giá), sắp xếp</t>
  </si>
  <si>
    <t>4.3.2.2</t>
  </si>
  <si>
    <t xml:space="preserve">         Xây dựng API danh mục &amp; lọc sản phẩm</t>
  </si>
  <si>
    <t>4.3.2.3</t>
  </si>
  <si>
    <t>4.3.3</t>
  </si>
  <si>
    <t xml:space="preserve">      Chi tiết sản phẩm &amp; hiển thị tồn kho</t>
  </si>
  <si>
    <t>Chức năng chi tiết sản phẩm</t>
  </si>
  <si>
    <t>4.3.3.1</t>
  </si>
  <si>
    <t xml:space="preserve">         Xây dựng UI chi tiết sản phẩm (ảnh, bảng size, khuyến mại)</t>
  </si>
  <si>
    <t>4.3.3.2</t>
  </si>
  <si>
    <t xml:space="preserve">         Xây dựng API chi tiết sản phẩm &amp; tình trạng tồn kho</t>
  </si>
  <si>
    <t>4.3.3.3</t>
  </si>
  <si>
    <t>4.3.4</t>
  </si>
  <si>
    <t xml:space="preserve">      Trang chủ &amp; trang nội dung/chính sách</t>
  </si>
  <si>
    <t>Trang chủ, trang chính sách</t>
  </si>
  <si>
    <t>4.3.4.1</t>
  </si>
  <si>
    <t xml:space="preserve">         Xây dựng UI trang chủ &amp; khối sản phẩm nổi bật</t>
  </si>
  <si>
    <t>4.3.4.2</t>
  </si>
  <si>
    <t xml:space="preserve">         Xây dựng trang chính sách (đổi trả, vận chuyển, bảo mật)</t>
  </si>
  <si>
    <t>4.4</t>
  </si>
  <si>
    <t xml:space="preserve">   Chức năng Quản lý đơn hàng &amp; thanh toán</t>
  </si>
  <si>
    <t>Module đơn hàng</t>
  </si>
  <si>
    <t>4.4.1</t>
  </si>
  <si>
    <t xml:space="preserve">      Giỏ hàng</t>
  </si>
  <si>
    <t>Chức năng giỏ hàng</t>
  </si>
  <si>
    <t>4.4.1.1</t>
  </si>
  <si>
    <t xml:space="preserve">         Xây dựng UI giỏ hàng &amp; chi tiết giỏ hàng</t>
  </si>
  <si>
    <t>4.4.1.2</t>
  </si>
  <si>
    <t xml:space="preserve">         Xây dựng API giỏ hàng (thêm, sửa, xóa, lưu giỏ cho thành viên)</t>
  </si>
  <si>
    <t>4.4.1.3</t>
  </si>
  <si>
    <t xml:space="preserve">         Xử lý logic tính tiền, số lượng, giới hạn mua</t>
  </si>
  <si>
    <t>4.4.1.4</t>
  </si>
  <si>
    <t xml:space="preserve">         Tích hợp &amp; kiểm thử đơn vị chức năng giỏ hàng</t>
  </si>
  <si>
    <t>4.4.2</t>
  </si>
  <si>
    <t xml:space="preserve">      Đặt hàng (Checkout)</t>
  </si>
  <si>
    <t>Chức năng đặt hàng</t>
  </si>
  <si>
    <t>4.4.2.1</t>
  </si>
  <si>
    <t xml:space="preserve">         Xây dựng UI các bước checkout &amp; xác nhận đơn</t>
  </si>
  <si>
    <t>4.4.2.2</t>
  </si>
  <si>
    <t xml:space="preserve">         Xây dựng API tạo đơn hàng</t>
  </si>
  <si>
    <t>4.4.2.3</t>
  </si>
  <si>
    <t xml:space="preserve">         Xử lý kiểm tra tồn kho &amp; giữ hàng khi thanh toán</t>
  </si>
  <si>
    <t>4.4.2.4</t>
  </si>
  <si>
    <t xml:space="preserve">         Tính phí vận chuyển &amp; áp dụng mã giảm giá</t>
  </si>
  <si>
    <t>4.4.2.5</t>
  </si>
  <si>
    <t xml:space="preserve">         Tích hợp &amp; kiểm thử đơn vị chức năng đặt hàng</t>
  </si>
  <si>
    <t>4.4.3</t>
  </si>
  <si>
    <t xml:space="preserve">      Thanh toán trực tuyến</t>
  </si>
  <si>
    <t>Chức năng thanh toán</t>
  </si>
  <si>
    <t>4.4.3.1</t>
  </si>
  <si>
    <t xml:space="preserve">         Xây dựng UI lựa chọn phương thức thanh toán (thẻ, ví, QR, COD)</t>
  </si>
  <si>
    <t>4.4.3.2</t>
  </si>
  <si>
    <t xml:space="preserve">         Xây dựng API khởi tạo giao dịch với cổng thanh toán</t>
  </si>
  <si>
    <t>4.4.3.3</t>
  </si>
  <si>
    <t xml:space="preserve">         Xử lý callback/IPN &amp; cập nhật trạng thái thanh toán</t>
  </si>
  <si>
    <t>4.4.3.4</t>
  </si>
  <si>
    <t xml:space="preserve">         Xử lý giao dịch treo, timeout &amp; chống xử lý trùng (idempotency)</t>
  </si>
  <si>
    <t>4.4.3.5</t>
  </si>
  <si>
    <t xml:space="preserve">         Xây dựng chức năng hoàn tiền (refund)</t>
  </si>
  <si>
    <t>4.4.3.6</t>
  </si>
  <si>
    <t xml:space="preserve">         Xây dựng báo cáo đối soát giao dịch hằng ngày với cổng thanh toán</t>
  </si>
  <si>
    <t>4.4.3.7</t>
  </si>
  <si>
    <t xml:space="preserve">         Kiểm thử đơn vị luồng thanh toán trên môi trường sandbox</t>
  </si>
  <si>
    <t>4.4.3.8</t>
  </si>
  <si>
    <t xml:space="preserve">         Rà soát kỹ thuật &amp; bảo mật luồng thanh toán</t>
  </si>
  <si>
    <t>4.4.4</t>
  </si>
  <si>
    <t xml:space="preserve">      Theo dõi &amp; hủy đơn hàng</t>
  </si>
  <si>
    <t>Chức năng theo dõi/hủy đơn</t>
  </si>
  <si>
    <t>4.4.4.1</t>
  </si>
  <si>
    <t xml:space="preserve">         Xây dựng UI theo dõi trạng thái đơn &amp; hủy đơn</t>
  </si>
  <si>
    <t>4.4.4.2</t>
  </si>
  <si>
    <t xml:space="preserve">         Xây dựng API tra cứu trạng thái đơn hàng</t>
  </si>
  <si>
    <t>4.4.4.3</t>
  </si>
  <si>
    <t xml:space="preserve">         Xây dựng API hủy đơn kèm hoàn tồn kho &amp; khởi tạo hoàn tiền</t>
  </si>
  <si>
    <t>4.4.4.4</t>
  </si>
  <si>
    <t>4.5</t>
  </si>
  <si>
    <t xml:space="preserve">   Tích hợp hệ thống</t>
  </si>
  <si>
    <t>Các adapter tích hợp</t>
  </si>
  <si>
    <t>4.5.1</t>
  </si>
  <si>
    <t xml:space="preserve">      Đồng bộ danh mục, giá &amp; khuyến mại</t>
  </si>
  <si>
    <t>Luồng đồng bộ sản phẩm</t>
  </si>
  <si>
    <t>4.5.1.1</t>
  </si>
  <si>
    <t xml:space="preserve">         Xây dựng adapter đồng bộ danh mục, giá, khuyến mại</t>
  </si>
  <si>
    <t>4.5.1.2</t>
  </si>
  <si>
    <t xml:space="preserve">         Cấu hình lịch chạy &amp; nhật ký đồng bộ</t>
  </si>
  <si>
    <t>4.5.1.3</t>
  </si>
  <si>
    <t xml:space="preserve">         Kiểm thử đơn vị luồng đồng bộ sản phẩm</t>
  </si>
  <si>
    <t>4.5.2</t>
  </si>
  <si>
    <t xml:space="preserve">      Đồng bộ tồn kho (chu kỳ ≤ 15 phút)</t>
  </si>
  <si>
    <t>Luồng đồng bộ tồn kho</t>
  </si>
  <si>
    <t>4.5.2.1</t>
  </si>
  <si>
    <t xml:space="preserve">         Xây dựng adapter đồng bộ tồn kho từ Main System</t>
  </si>
  <si>
    <t>4.5.2.2</t>
  </si>
  <si>
    <t xml:space="preserve">         Xử lý lệch tồn kho &amp; cảnh báo</t>
  </si>
  <si>
    <t>4.5.2.3</t>
  </si>
  <si>
    <t xml:space="preserve">         Kiểm thử đơn vị luồng đồng bộ tồn kho</t>
  </si>
  <si>
    <t>4.5.3</t>
  </si>
  <si>
    <t xml:space="preserve">      Đẩy đơn hàng sang Main System</t>
  </si>
  <si>
    <t>Luồng đẩy đơn hàng</t>
  </si>
  <si>
    <t>4.5.3.1</t>
  </si>
  <si>
    <t xml:space="preserve">         Xây dựng hàng đợi &amp; adapter đẩy đơn hàng</t>
  </si>
  <si>
    <t>4.5.3.2</t>
  </si>
  <si>
    <t xml:space="preserve">         Cơ chế thử lại (retry), hàng đợi lỗi &amp; chống trùng</t>
  </si>
  <si>
    <t>4.5.3.3</t>
  </si>
  <si>
    <t xml:space="preserve">         Kiểm thử đơn vị luồng đẩy đơn hàng</t>
  </si>
  <si>
    <t>4.5.4</t>
  </si>
  <si>
    <t xml:space="preserve">      Nhận trạng thái xử lý &amp; giao hàng</t>
  </si>
  <si>
    <t>Luồng nhận trạng thái</t>
  </si>
  <si>
    <t>4.5.4.1</t>
  </si>
  <si>
    <t xml:space="preserve">         Xây dựng adapter nhận trạng thái từ Main System / vận chuyển</t>
  </si>
  <si>
    <t>4.5.4.2</t>
  </si>
  <si>
    <t xml:space="preserve">         Cập nhật trạng thái đơn &amp; thông báo khách hàng</t>
  </si>
  <si>
    <t>4.5.4.3</t>
  </si>
  <si>
    <t xml:space="preserve">         Kiểm thử đơn vị luồng trạng thái</t>
  </si>
  <si>
    <t>4.5.5</t>
  </si>
  <si>
    <t xml:space="preserve">      Đồng bộ dữ liệu khách hàng</t>
  </si>
  <si>
    <t>Luồng đồng bộ khách hàng</t>
  </si>
  <si>
    <t>4.5.5.1</t>
  </si>
  <si>
    <t xml:space="preserve">         Xây dựng adapter đồng bộ dữ liệu khách hàng</t>
  </si>
  <si>
    <t>4.5.5.2</t>
  </si>
  <si>
    <t xml:space="preserve">         Kiểm thử đơn vị luồng đồng bộ khách hàng</t>
  </si>
  <si>
    <t>4.5.6</t>
  </si>
  <si>
    <t xml:space="preserve">      Báo cáo đối soát hằng ngày &amp; cảnh báo lệch dữ liệu</t>
  </si>
  <si>
    <t>Báo cáo đối soát</t>
  </si>
  <si>
    <t>4.5.7</t>
  </si>
  <si>
    <t xml:space="preserve">      Kiểm thử kết nối thật với đội IT Main System</t>
  </si>
  <si>
    <t>Biên bản kiểm thử kết nối</t>
  </si>
  <si>
    <t>4.6</t>
  </si>
  <si>
    <t xml:space="preserve">   Kiểm soát chất lượng mã nguồn &amp; phát hành</t>
  </si>
  <si>
    <t>Báo cáo chất lượng mã nguồn</t>
  </si>
  <si>
    <t>4.6.1</t>
  </si>
  <si>
    <t xml:space="preserve">      Code review theo pull request</t>
  </si>
  <si>
    <t>Nhật ký code review</t>
  </si>
  <si>
    <t>4.6.2</t>
  </si>
  <si>
    <t xml:space="preserve">      Phân tích mã nguồn tĩnh (SAST) &amp; khắc phục</t>
  </si>
  <si>
    <t>Báo cáo SAST</t>
  </si>
  <si>
    <t>4.6.3</t>
  </si>
  <si>
    <t xml:space="preserve">      Đóng gói bản build &amp; ghi chú phát hành (M3)</t>
  </si>
  <si>
    <t>Bản build, Release Notes</t>
  </si>
  <si>
    <t>5</t>
  </si>
  <si>
    <t>Kiểm thử (Testing)</t>
  </si>
  <si>
    <t>Hồ sơ kiểm thử</t>
  </si>
  <si>
    <t>QA</t>
  </si>
  <si>
    <t>5.1</t>
  </si>
  <si>
    <t xml:space="preserve">   Chuẩn bị kiểm thử</t>
  </si>
  <si>
    <t>Test Plan, Test Case, dữ liệu test</t>
  </si>
  <si>
    <t>5.1.1</t>
  </si>
  <si>
    <t xml:space="preserve">      Lập kế hoạch kiểm thử tổng thể</t>
  </si>
  <si>
    <t>Test Plan</t>
  </si>
  <si>
    <t>5.1.2</t>
  </si>
  <si>
    <t xml:space="preserve">      Viết test case – Quản lý sản phẩm</t>
  </si>
  <si>
    <t>Test case sản phẩm</t>
  </si>
  <si>
    <t>5.1.3</t>
  </si>
  <si>
    <t xml:space="preserve">      Viết test case – Quản lý đơn hàng &amp; thanh toán</t>
  </si>
  <si>
    <t>Test case đơn hàng</t>
  </si>
  <si>
    <t>5.1.4</t>
  </si>
  <si>
    <t xml:space="preserve">      Viết test case – Quản lý khách hàng</t>
  </si>
  <si>
    <t>Test case khách hàng</t>
  </si>
  <si>
    <t>5.1.5</t>
  </si>
  <si>
    <t xml:space="preserve">      Viết test case – Tích hợp hệ thống &amp; đối soát</t>
  </si>
  <si>
    <t>Test case tích hợp</t>
  </si>
  <si>
    <t>5.1.6</t>
  </si>
  <si>
    <t xml:space="preserve">      Chuẩn bị dữ liệu &amp; môi trường kiểm thử</t>
  </si>
  <si>
    <t>Bộ dữ liệu test</t>
  </si>
  <si>
    <t>5.2</t>
  </si>
  <si>
    <t xml:space="preserve">   Kiểm thử tích hợp hệ thống (SIT)</t>
  </si>
  <si>
    <t>Báo cáo SIT</t>
  </si>
  <si>
    <t>5.2.1</t>
  </si>
  <si>
    <t xml:space="preserve">      SIT – Quản lý sản phẩm</t>
  </si>
  <si>
    <t>Kết quả SIT sản phẩm</t>
  </si>
  <si>
    <t>5.2.2</t>
  </si>
  <si>
    <t xml:space="preserve">      SIT – Quản lý khách hàng</t>
  </si>
  <si>
    <t>Kết quả SIT khách hàng</t>
  </si>
  <si>
    <t>5.2.3</t>
  </si>
  <si>
    <t xml:space="preserve">      SIT – Quản lý đơn hàng &amp; thanh toán</t>
  </si>
  <si>
    <t>Kết quả SIT đơn hàng</t>
  </si>
  <si>
    <t>5.2.4</t>
  </si>
  <si>
    <t xml:space="preserve">      SIT – Tích hợp hệ thống &amp; đối soát dữ liệu</t>
  </si>
  <si>
    <t>Kết quả SIT tích hợp</t>
  </si>
  <si>
    <t>5.2.5</t>
  </si>
  <si>
    <t xml:space="preserve">      SIT luồng đầu–cuối (đặt hàng → thanh toán → giao hàng)</t>
  </si>
  <si>
    <t>Kết quả SIT end-to-end</t>
  </si>
  <si>
    <t>5.3</t>
  </si>
  <si>
    <t xml:space="preserve">   Kiểm thử hiệu năng</t>
  </si>
  <si>
    <t>Báo cáo kiểm thử hiệu năng</t>
  </si>
  <si>
    <t>5.3.1</t>
  </si>
  <si>
    <t xml:space="preserve">      Chuẩn bị kịch bản &amp; công cụ kiểm thử hiệu năng</t>
  </si>
  <si>
    <t>Kịch bản tải</t>
  </si>
  <si>
    <t>5.3.2</t>
  </si>
  <si>
    <t xml:space="preserve">      Thực hiện kiểm thử</t>
  </si>
  <si>
    <t>Kết quả test</t>
  </si>
  <si>
    <t>5.3.3</t>
  </si>
  <si>
    <t xml:space="preserve">      Lập báo cáo kiểm thử hiệu năng (P95 ≤ 2 giây)</t>
  </si>
  <si>
    <t>Báo cáo hiệu năng</t>
  </si>
  <si>
    <t>5.4</t>
  </si>
  <si>
    <t xml:space="preserve">   Kiểm thử an toàn bảo mật (ATTT, OWASP)</t>
  </si>
  <si>
    <t>Báo cáo kiểm thử bảo mật</t>
  </si>
  <si>
    <t>5.5</t>
  </si>
  <si>
    <t xml:space="preserve">   Sửa lỗi &amp; kiểm thử hồi quy</t>
  </si>
  <si>
    <t>Danh sách lỗi đã đóng</t>
  </si>
  <si>
    <t>5.5.1</t>
  </si>
  <si>
    <t xml:space="preserve">      Sửa lỗi phát hiện trong SIT/UAT</t>
  </si>
  <si>
    <t>Bản vá lỗi</t>
  </si>
  <si>
    <t>5.5.2</t>
  </si>
  <si>
    <t xml:space="preserve">      Thực hiện kiểm thử hồi quy</t>
  </si>
  <si>
    <t>Kết quả hồi quy</t>
  </si>
  <si>
    <t>5.6</t>
  </si>
  <si>
    <t xml:space="preserve">   Kiểm thử vận hành (UAT )</t>
  </si>
  <si>
    <t>Biên bản UAT (M4)</t>
  </si>
  <si>
    <t>5.6.1</t>
  </si>
  <si>
    <t xml:space="preserve">      Chuẩn bị kịch bản UAT &amp; hướng dẫn key users</t>
  </si>
  <si>
    <t>Kịch bản UAT</t>
  </si>
  <si>
    <t>5.6.2</t>
  </si>
  <si>
    <t xml:space="preserve">      Hỗ trợ khách hàng thực hiện UAT &amp; phân loại lỗi</t>
  </si>
  <si>
    <t>Nhật ký UAT</t>
  </si>
  <si>
    <t>5.6.3</t>
  </si>
  <si>
    <t xml:space="preserve">      Tổng hợp kết quả &amp; ký biên bản UAT (M4)</t>
  </si>
  <si>
    <t>Biên bản UAT đạt</t>
  </si>
  <si>
    <t>6</t>
  </si>
  <si>
    <t>Triển khai &amp; chuyển giao</t>
  </si>
  <si>
    <t>Hệ thống vận hành chính thức</t>
  </si>
  <si>
    <t>6.2</t>
  </si>
  <si>
    <t xml:space="preserve">   Tài liệu chuyển giao</t>
  </si>
  <si>
    <t>HDSD, tài liệu vận hành</t>
  </si>
  <si>
    <t>6.2.1</t>
  </si>
  <si>
    <t xml:space="preserve">      Biên soạn tài liệu hướng dẫn sử dụng</t>
  </si>
  <si>
    <t>User Manual</t>
  </si>
  <si>
    <t>6.2.2</t>
  </si>
  <si>
    <t xml:space="preserve">      Biên soạn tài liệu vận hành &amp; xử lý sự cố</t>
  </si>
  <si>
    <t>Operation Manual</t>
  </si>
  <si>
    <t>6.3</t>
  </si>
  <si>
    <t xml:space="preserve">   Đào tạo</t>
  </si>
  <si>
    <t>Biên bản đào tạo</t>
  </si>
  <si>
    <t>6.3.1</t>
  </si>
  <si>
    <t xml:space="preserve">      Chuẩn bị tài liệu &amp; môi trường đào tạo</t>
  </si>
  <si>
    <t>Bộ tài liệu đào tạo</t>
  </si>
  <si>
    <t>6.3.2</t>
  </si>
  <si>
    <t xml:space="preserve">      Đào tạo người dùng nghiệp vụ</t>
  </si>
  <si>
    <t>Biên bản đào tạo nghiệp vụ</t>
  </si>
  <si>
    <t>6.3.3</t>
  </si>
  <si>
    <t xml:space="preserve">      Đào tạo đội IT vận hành</t>
  </si>
  <si>
    <t>Biên bản đào tạo vận hành</t>
  </si>
  <si>
    <t>6.5</t>
  </si>
  <si>
    <t xml:space="preserve">   Go-live</t>
  </si>
  <si>
    <t>Hệ thống vận hành chính thức (M5)</t>
  </si>
  <si>
    <t>6.5.1</t>
  </si>
  <si>
    <t xml:space="preserve">      Triển khai PROD &amp; kiểm tra sau triển khai</t>
  </si>
  <si>
    <t>Biên bản triển khai, Website hoạt động chính thức</t>
  </si>
  <si>
    <t>6.6</t>
  </si>
  <si>
    <t xml:space="preserve">   Hỗ trợ sau go-live (01 tháng)</t>
  </si>
  <si>
    <t>Báo cáo hypercare (M6)</t>
  </si>
  <si>
    <t>6.6.1</t>
  </si>
  <si>
    <t xml:space="preserve">      Trực tăng cường &amp; xử lý sự cố 72 giờ đầu</t>
  </si>
  <si>
    <t>Nhật ký trực go-live</t>
  </si>
  <si>
    <t>6.6.2</t>
  </si>
  <si>
    <t xml:space="preserve">      Hỗ trợ vận hành tháng đầu &amp; theo dõi hiệu năng</t>
  </si>
  <si>
    <t>Báo cáo theo dõi</t>
  </si>
  <si>
    <t>6.6.3</t>
  </si>
  <si>
    <t xml:space="preserve">      Bàn giao vận hành (M6)</t>
  </si>
  <si>
    <t>Biên bản bàn giao</t>
  </si>
  <si>
    <t>TỔNG CỘNG DỰ ÁN (WBS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</si>
</sst>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.m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0000FF"/>
      <name val="Arial"/>
    </font>
    <font>
      <b/>
      <sz val="14.0"/>
      <color rgb="FF1F3864"/>
      <name val="Arial"/>
    </font>
    <font>
      <i/>
      <sz val="9.0"/>
      <color rgb="FF595959"/>
      <name val="Arial"/>
    </font>
    <font>
      <b/>
      <sz val="8.0"/>
      <color rgb="FFFFFFFF"/>
      <name val="Arial"/>
    </font>
    <font>
      <b/>
      <sz val="9.0"/>
      <color rgb="FF008000"/>
      <name val="Arial"/>
    </font>
    <font>
      <sz val="11.0"/>
      <color theme="1"/>
      <name val="Calibri"/>
    </font>
    <font>
      <sz val="9.0"/>
      <color rgb="FF00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hair">
        <color rgb="FFD9D9D9"/>
      </left>
      <right style="hair">
        <color rgb="FFD9D9D9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1" fillId="3" fontId="2" numFmtId="164" xfId="0" applyAlignment="1" applyBorder="1" applyFill="1" applyFont="1" applyNumberForma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164" xfId="0" applyAlignment="1" applyBorder="1" applyFill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5" fontId="4" numFmtId="164" xfId="0" applyAlignment="1" applyBorder="1" applyFill="1" applyFont="1" applyNumberFormat="1">
      <alignment readingOrder="0" vertical="center"/>
    </xf>
    <xf borderId="1" fillId="6" fontId="3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0" fillId="0" fontId="5" numFmtId="0" xfId="0" applyFont="1"/>
    <xf borderId="0" fillId="0" fontId="6" numFmtId="0" xfId="0" applyFont="1"/>
    <xf borderId="1" fillId="0" fontId="3" numFmtId="165" xfId="0" applyAlignment="1" applyBorder="1" applyFont="1" applyNumberFormat="1">
      <alignment horizontal="center" readingOrder="0" vertical="center"/>
    </xf>
    <xf borderId="1" fillId="2" fontId="7" numFmtId="164" xfId="0" applyAlignment="1" applyBorder="1" applyFill="1" applyFont="1" applyNumberFormat="1">
      <alignment horizontal="center" textRotation="90"/>
    </xf>
    <xf borderId="1" fillId="0" fontId="8" numFmtId="0" xfId="0" applyBorder="1" applyFont="1"/>
    <xf borderId="1" fillId="0" fontId="8" numFmtId="164" xfId="0" applyBorder="1" applyFont="1" applyNumberFormat="1"/>
    <xf borderId="2" fillId="0" fontId="9" numFmtId="0" xfId="0" applyBorder="1" applyFont="1"/>
    <xf borderId="1" fillId="0" fontId="10" numFmtId="0" xfId="0" applyBorder="1" applyFont="1"/>
    <xf borderId="1" fillId="0" fontId="10" numFmtId="164" xfId="0" applyBorder="1" applyFont="1" applyNumberFormat="1"/>
    <xf borderId="1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shrinkToFit="0" vertical="center" wrapText="1"/>
    </xf>
    <xf borderId="1" fillId="7" fontId="2" numFmtId="164" xfId="0" applyAlignment="1" applyBorder="1" applyFill="1" applyFont="1" applyNumberFormat="1">
      <alignment vertical="center"/>
    </xf>
    <xf borderId="1" fillId="4" fontId="2" numFmtId="164" xfId="0" applyAlignment="1" applyBorder="1" applyFill="1" applyFont="1" applyNumberFormat="1">
      <alignment readingOrder="0" vertical="center"/>
    </xf>
    <xf borderId="1" fillId="5" fontId="4" numFmtId="164" xfId="0" applyAlignment="1" applyBorder="1" applyFill="1" applyFont="1" applyNumberFormat="1">
      <alignment vertical="center"/>
    </xf>
    <xf borderId="1" fillId="0" fontId="10" numFmtId="165" xfId="0" applyBorder="1" applyFont="1" applyNumberFormat="1"/>
    <xf borderId="1" fillId="2" fontId="1" numFmtId="0" xfId="0" applyBorder="1" applyFill="1" applyFont="1"/>
    <xf borderId="1" fillId="2" fontId="1" numFmtId="164" xfId="0" applyBorder="1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Row="3"/>
  <cols>
    <col customWidth="1" min="1" max="1" width="9.0"/>
    <col customWidth="1" min="2" max="2" width="52.0"/>
    <col customWidth="1" min="3" max="3" width="30.0"/>
    <col customWidth="1" min="4" max="6" width="9.0"/>
    <col customWidth="1" min="7" max="25" width="8.57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3" t="s">
        <v>7</v>
      </c>
      <c r="C2" s="3" t="s">
        <v>8</v>
      </c>
      <c r="D2" s="2" t="s">
        <v>9</v>
      </c>
      <c r="E2" s="4">
        <f>MIN(E3,E7,E11,E14)</f>
        <v>46195</v>
      </c>
      <c r="F2" s="4">
        <f>MAX(F3,F7,F11,F14)</f>
        <v>46325</v>
      </c>
    </row>
    <row r="3" ht="14.25" customHeight="1" outlineLevel="1">
      <c r="A3" s="5" t="s">
        <v>10</v>
      </c>
      <c r="B3" s="6" t="s">
        <v>11</v>
      </c>
      <c r="C3" s="6" t="s">
        <v>12</v>
      </c>
      <c r="D3" s="5" t="s">
        <v>9</v>
      </c>
      <c r="E3" s="7">
        <f>MIN(E4,E5,E6)</f>
        <v>46195</v>
      </c>
      <c r="F3" s="7">
        <f>MAX(F4,F5,F6)</f>
        <v>46198</v>
      </c>
    </row>
    <row r="4" ht="14.25" customHeight="1" outlineLevel="2">
      <c r="A4" s="8" t="s">
        <v>13</v>
      </c>
      <c r="B4" s="9" t="s">
        <v>14</v>
      </c>
      <c r="C4" s="9" t="s">
        <v>15</v>
      </c>
      <c r="D4" s="8" t="s">
        <v>9</v>
      </c>
      <c r="E4" s="10">
        <v>46195.0</v>
      </c>
      <c r="F4" s="10">
        <v>46196.0</v>
      </c>
    </row>
    <row r="5" ht="14.25" customHeight="1" outlineLevel="2">
      <c r="A5" s="8" t="s">
        <v>16</v>
      </c>
      <c r="B5" s="11" t="s">
        <v>17</v>
      </c>
      <c r="C5" s="12" t="s">
        <v>18</v>
      </c>
      <c r="D5" s="8" t="s">
        <v>9</v>
      </c>
      <c r="E5" s="10">
        <v>46196.0</v>
      </c>
      <c r="F5" s="10">
        <v>46196.0</v>
      </c>
    </row>
    <row r="6" ht="14.25" customHeight="1" outlineLevel="2">
      <c r="A6" s="8" t="s">
        <v>19</v>
      </c>
      <c r="B6" s="9" t="s">
        <v>20</v>
      </c>
      <c r="C6" s="9" t="s">
        <v>21</v>
      </c>
      <c r="D6" s="8" t="s">
        <v>9</v>
      </c>
      <c r="E6" s="10">
        <v>46198.0</v>
      </c>
      <c r="F6" s="10">
        <v>46198.0</v>
      </c>
    </row>
    <row r="7" ht="14.25" customHeight="1" outlineLevel="1">
      <c r="A7" s="5" t="s">
        <v>22</v>
      </c>
      <c r="B7" s="6" t="s">
        <v>23</v>
      </c>
      <c r="C7" s="13" t="s">
        <v>24</v>
      </c>
      <c r="D7" s="5" t="s">
        <v>9</v>
      </c>
      <c r="E7" s="7">
        <f>MIN(E8,E9,E10)</f>
        <v>46195</v>
      </c>
      <c r="F7" s="7">
        <f>MAX(F8,F9,F10)</f>
        <v>46209</v>
      </c>
    </row>
    <row r="8" ht="14.25" customHeight="1" outlineLevel="2">
      <c r="A8" s="8" t="s">
        <v>25</v>
      </c>
      <c r="B8" s="11" t="s">
        <v>26</v>
      </c>
      <c r="C8" s="12" t="s">
        <v>27</v>
      </c>
      <c r="D8" s="8" t="s">
        <v>9</v>
      </c>
      <c r="E8" s="10">
        <v>46195.0</v>
      </c>
      <c r="F8" s="10">
        <v>46203.0</v>
      </c>
    </row>
    <row r="9" ht="14.25" customHeight="1" outlineLevel="2">
      <c r="A9" s="8" t="s">
        <v>28</v>
      </c>
      <c r="B9" s="9" t="s">
        <v>29</v>
      </c>
      <c r="C9" s="12" t="s">
        <v>30</v>
      </c>
      <c r="D9" s="8" t="s">
        <v>9</v>
      </c>
      <c r="E9" s="10">
        <v>46199.0</v>
      </c>
      <c r="F9" s="10">
        <v>46209.0</v>
      </c>
    </row>
    <row r="10" ht="14.25" customHeight="1" outlineLevel="2">
      <c r="A10" s="8" t="s">
        <v>31</v>
      </c>
      <c r="B10" s="9" t="s">
        <v>32</v>
      </c>
      <c r="C10" s="12" t="s">
        <v>33</v>
      </c>
      <c r="D10" s="8" t="s">
        <v>9</v>
      </c>
      <c r="E10" s="10">
        <v>46204.0</v>
      </c>
      <c r="F10" s="10">
        <v>46209.0</v>
      </c>
    </row>
    <row r="11" ht="14.25" customHeight="1" outlineLevel="1">
      <c r="A11" s="5" t="s">
        <v>34</v>
      </c>
      <c r="B11" s="6" t="s">
        <v>35</v>
      </c>
      <c r="C11" s="6" t="s">
        <v>36</v>
      </c>
      <c r="D11" s="5" t="s">
        <v>9</v>
      </c>
      <c r="E11" s="7">
        <f>MIN(E12,E13)</f>
        <v>46322</v>
      </c>
      <c r="F11" s="7">
        <f>MAX(F12,F13)</f>
        <v>46325</v>
      </c>
    </row>
    <row r="12" ht="14.25" customHeight="1" outlineLevel="2">
      <c r="A12" s="8" t="s">
        <v>37</v>
      </c>
      <c r="B12" s="14" t="s">
        <v>38</v>
      </c>
      <c r="C12" s="9" t="s">
        <v>39</v>
      </c>
      <c r="D12" s="8" t="s">
        <v>9</v>
      </c>
      <c r="E12" s="10">
        <v>46322.0</v>
      </c>
      <c r="F12" s="10">
        <v>46325.0</v>
      </c>
    </row>
    <row r="13" ht="14.25" customHeight="1" outlineLevel="2">
      <c r="A13" s="8" t="s">
        <v>40</v>
      </c>
      <c r="B13" s="9" t="s">
        <v>41</v>
      </c>
      <c r="C13" s="9" t="s">
        <v>42</v>
      </c>
      <c r="D13" s="8" t="s">
        <v>9</v>
      </c>
      <c r="E13" s="10">
        <v>46324.0</v>
      </c>
      <c r="F13" s="10">
        <v>46325.0</v>
      </c>
    </row>
    <row r="14" ht="14.25" customHeight="1" outlineLevel="1">
      <c r="A14" s="5" t="s">
        <v>43</v>
      </c>
      <c r="B14" s="6" t="s">
        <v>44</v>
      </c>
      <c r="C14" s="13" t="s">
        <v>45</v>
      </c>
      <c r="D14" s="5" t="s">
        <v>9</v>
      </c>
      <c r="E14" s="7">
        <f>MIN(E15,E16)</f>
        <v>46322</v>
      </c>
      <c r="F14" s="7">
        <f>MAX(F15,F16)</f>
        <v>46325</v>
      </c>
    </row>
    <row r="15" ht="14.25" customHeight="1" outlineLevel="2">
      <c r="A15" s="8" t="s">
        <v>46</v>
      </c>
      <c r="B15" s="9" t="s">
        <v>47</v>
      </c>
      <c r="C15" s="12" t="s">
        <v>48</v>
      </c>
      <c r="D15" s="8" t="s">
        <v>9</v>
      </c>
      <c r="E15" s="10">
        <v>46322.0</v>
      </c>
      <c r="F15" s="10">
        <v>46325.0</v>
      </c>
    </row>
    <row r="16" ht="14.25" customHeight="1" outlineLevel="2">
      <c r="A16" s="8" t="s">
        <v>49</v>
      </c>
      <c r="B16" s="9" t="s">
        <v>50</v>
      </c>
      <c r="C16" s="12" t="s">
        <v>51</v>
      </c>
      <c r="D16" s="8" t="s">
        <v>9</v>
      </c>
      <c r="E16" s="10">
        <v>46324.0</v>
      </c>
      <c r="F16" s="10">
        <v>46325.0</v>
      </c>
    </row>
    <row r="17" ht="14.25" customHeight="1">
      <c r="A17" s="2" t="s">
        <v>52</v>
      </c>
      <c r="B17" s="3" t="s">
        <v>53</v>
      </c>
      <c r="C17" s="15" t="s">
        <v>54</v>
      </c>
      <c r="D17" s="2" t="s">
        <v>55</v>
      </c>
      <c r="E17" s="4">
        <f>MIN(E18,E22,E27,E28,E29)</f>
        <v>46195</v>
      </c>
      <c r="F17" s="4">
        <f>MAX(F18,F22,F27,F28,F29)</f>
        <v>46213</v>
      </c>
    </row>
    <row r="18" ht="14.25" customHeight="1" outlineLevel="1">
      <c r="A18" s="5" t="s">
        <v>56</v>
      </c>
      <c r="B18" s="6" t="s">
        <v>57</v>
      </c>
      <c r="C18" s="6" t="s">
        <v>58</v>
      </c>
      <c r="D18" s="5" t="s">
        <v>55</v>
      </c>
      <c r="E18" s="7">
        <f>MIN(E19,E20,E21)</f>
        <v>46195</v>
      </c>
      <c r="F18" s="7">
        <f>MAX(F19,F20,F21)</f>
        <v>46204</v>
      </c>
    </row>
    <row r="19" ht="14.25" customHeight="1" outlineLevel="2">
      <c r="A19" s="8" t="s">
        <v>59</v>
      </c>
      <c r="B19" s="12" t="s">
        <v>60</v>
      </c>
      <c r="C19" s="9" t="s">
        <v>61</v>
      </c>
      <c r="D19" s="8" t="s">
        <v>55</v>
      </c>
      <c r="E19" s="10">
        <v>46195.0</v>
      </c>
      <c r="F19" s="10">
        <v>46198.0</v>
      </c>
    </row>
    <row r="20" ht="14.25" customHeight="1" outlineLevel="2">
      <c r="A20" s="8" t="s">
        <v>62</v>
      </c>
      <c r="B20" s="12" t="s">
        <v>63</v>
      </c>
      <c r="C20" s="9" t="s">
        <v>64</v>
      </c>
      <c r="D20" s="8" t="s">
        <v>55</v>
      </c>
      <c r="E20" s="10">
        <v>46196.0</v>
      </c>
      <c r="F20" s="10">
        <v>46199.0</v>
      </c>
    </row>
    <row r="21" ht="14.25" customHeight="1" outlineLevel="2">
      <c r="A21" s="8" t="s">
        <v>65</v>
      </c>
      <c r="B21" s="9" t="s">
        <v>66</v>
      </c>
      <c r="C21" s="9" t="s">
        <v>67</v>
      </c>
      <c r="D21" s="8" t="s">
        <v>55</v>
      </c>
      <c r="E21" s="10">
        <v>46203.0</v>
      </c>
      <c r="F21" s="10">
        <v>46204.0</v>
      </c>
    </row>
    <row r="22" ht="14.25" customHeight="1" outlineLevel="1">
      <c r="A22" s="5" t="s">
        <v>68</v>
      </c>
      <c r="B22" s="6" t="s">
        <v>69</v>
      </c>
      <c r="C22" s="6" t="s">
        <v>70</v>
      </c>
      <c r="D22" s="5" t="s">
        <v>55</v>
      </c>
      <c r="E22" s="7">
        <f>MIN(E23,E24,E25,E26,E27,E28,E29)</f>
        <v>46199</v>
      </c>
      <c r="F22" s="7">
        <f>MAX(F23,F24,F25,F26,F27,F28,F29)</f>
        <v>46213</v>
      </c>
    </row>
    <row r="23" ht="14.25" customHeight="1" outlineLevel="2">
      <c r="A23" s="8" t="s">
        <v>72</v>
      </c>
      <c r="B23" s="9" t="s">
        <v>73</v>
      </c>
      <c r="C23" s="9" t="s">
        <v>74</v>
      </c>
      <c r="D23" s="8" t="s">
        <v>55</v>
      </c>
      <c r="E23" s="10">
        <v>46199.0</v>
      </c>
      <c r="F23" s="10">
        <v>46206.0</v>
      </c>
    </row>
    <row r="24" ht="14.25" customHeight="1" outlineLevel="2">
      <c r="A24" s="8" t="s">
        <v>75</v>
      </c>
      <c r="B24" s="9" t="s">
        <v>76</v>
      </c>
      <c r="C24" s="9" t="s">
        <v>77</v>
      </c>
      <c r="D24" s="8" t="s">
        <v>55</v>
      </c>
      <c r="E24" s="10">
        <v>46203.0</v>
      </c>
      <c r="F24" s="10">
        <v>46211.0</v>
      </c>
    </row>
    <row r="25" ht="14.25" customHeight="1" outlineLevel="2">
      <c r="A25" s="8" t="s">
        <v>79</v>
      </c>
      <c r="B25" s="9" t="s">
        <v>80</v>
      </c>
      <c r="C25" s="9" t="s">
        <v>81</v>
      </c>
      <c r="D25" s="8" t="s">
        <v>55</v>
      </c>
      <c r="E25" s="10">
        <v>46199.0</v>
      </c>
      <c r="F25" s="10">
        <v>46206.0</v>
      </c>
    </row>
    <row r="26" ht="14.25" customHeight="1" outlineLevel="2">
      <c r="A26" s="8" t="s">
        <v>82</v>
      </c>
      <c r="B26" s="12" t="s">
        <v>83</v>
      </c>
      <c r="C26" s="9" t="s">
        <v>84</v>
      </c>
      <c r="D26" s="8" t="s">
        <v>55</v>
      </c>
      <c r="E26" s="10">
        <v>46205.0</v>
      </c>
      <c r="F26" s="10">
        <v>46212.0</v>
      </c>
    </row>
    <row r="27" ht="14.25" customHeight="1" outlineLevel="1">
      <c r="A27" s="8" t="s">
        <v>86</v>
      </c>
      <c r="B27" s="9" t="s">
        <v>87</v>
      </c>
      <c r="C27" s="9" t="s">
        <v>88</v>
      </c>
      <c r="D27" s="8" t="s">
        <v>89</v>
      </c>
      <c r="E27" s="10">
        <v>46205.0</v>
      </c>
      <c r="F27" s="10">
        <v>46210.0</v>
      </c>
    </row>
    <row r="28" ht="14.25" customHeight="1" outlineLevel="1">
      <c r="A28" s="8" t="s">
        <v>90</v>
      </c>
      <c r="B28" s="12" t="s">
        <v>91</v>
      </c>
      <c r="C28" s="12" t="s">
        <v>92</v>
      </c>
      <c r="D28" s="8" t="s">
        <v>55</v>
      </c>
      <c r="E28" s="10">
        <v>46205.0</v>
      </c>
      <c r="F28" s="10">
        <v>46212.0</v>
      </c>
    </row>
    <row r="29" ht="14.25" customHeight="1" outlineLevel="1">
      <c r="A29" s="18">
        <v>46144.0</v>
      </c>
      <c r="B29" s="12" t="s">
        <v>93</v>
      </c>
      <c r="C29" s="9" t="s">
        <v>94</v>
      </c>
      <c r="D29" s="8" t="s">
        <v>9</v>
      </c>
      <c r="E29" s="10">
        <v>46213.0</v>
      </c>
      <c r="F29" s="10">
        <v>46213.0</v>
      </c>
    </row>
    <row r="30" ht="14.25" customHeight="1">
      <c r="A30" s="2" t="s">
        <v>95</v>
      </c>
      <c r="B30" s="3" t="s">
        <v>96</v>
      </c>
      <c r="C30" s="15" t="s">
        <v>97</v>
      </c>
      <c r="D30" s="2" t="s">
        <v>89</v>
      </c>
      <c r="E30" s="4">
        <f>MIN(E31,E36,E39,E46,E50,E55)</f>
        <v>46206</v>
      </c>
      <c r="F30" s="4">
        <f>MAX(F31,F36,F39,F46,F50,F55)</f>
        <v>46234</v>
      </c>
    </row>
    <row r="31" ht="14.25" customHeight="1" outlineLevel="1">
      <c r="A31" s="5" t="s">
        <v>98</v>
      </c>
      <c r="B31" s="6" t="s">
        <v>99</v>
      </c>
      <c r="C31" s="13" t="s">
        <v>100</v>
      </c>
      <c r="D31" s="5" t="s">
        <v>89</v>
      </c>
      <c r="E31" s="7">
        <f>MIN(E32,E33,E34,E35)</f>
        <v>46210</v>
      </c>
      <c r="F31" s="7">
        <f>MAX(F32,F33,F34,F35)</f>
        <v>46219</v>
      </c>
    </row>
    <row r="32" ht="14.25" customHeight="1" outlineLevel="2">
      <c r="A32" s="8" t="s">
        <v>101</v>
      </c>
      <c r="B32" s="9" t="s">
        <v>102</v>
      </c>
      <c r="C32" s="9" t="s">
        <v>103</v>
      </c>
      <c r="D32" s="8" t="s">
        <v>89</v>
      </c>
      <c r="E32" s="10">
        <v>46210.0</v>
      </c>
      <c r="F32" s="10">
        <v>46213.0</v>
      </c>
    </row>
    <row r="33" ht="14.25" customHeight="1" outlineLevel="2">
      <c r="A33" s="8" t="s">
        <v>104</v>
      </c>
      <c r="B33" s="9" t="s">
        <v>105</v>
      </c>
      <c r="C33" s="9" t="s">
        <v>106</v>
      </c>
      <c r="D33" s="8" t="s">
        <v>89</v>
      </c>
      <c r="E33" s="10">
        <v>46217.0</v>
      </c>
      <c r="F33" s="10">
        <v>46219.0</v>
      </c>
    </row>
    <row r="34" ht="14.25" customHeight="1" outlineLevel="2">
      <c r="A34" s="8" t="s">
        <v>107</v>
      </c>
      <c r="B34" s="9" t="s">
        <v>108</v>
      </c>
      <c r="C34" s="9" t="s">
        <v>109</v>
      </c>
      <c r="D34" s="8" t="s">
        <v>89</v>
      </c>
      <c r="E34" s="10">
        <v>46213.0</v>
      </c>
      <c r="F34" s="10">
        <v>46218.0</v>
      </c>
    </row>
    <row r="35" ht="14.25" customHeight="1" outlineLevel="2">
      <c r="A35" s="8" t="s">
        <v>110</v>
      </c>
      <c r="B35" s="9" t="s">
        <v>111</v>
      </c>
      <c r="C35" s="9" t="s">
        <v>112</v>
      </c>
      <c r="D35" s="8" t="s">
        <v>113</v>
      </c>
      <c r="E35" s="10">
        <v>46217.0</v>
      </c>
      <c r="F35" s="10">
        <v>46219.0</v>
      </c>
    </row>
    <row r="36" ht="14.25" customHeight="1" outlineLevel="1">
      <c r="A36" s="5" t="s">
        <v>114</v>
      </c>
      <c r="B36" s="6" t="s">
        <v>115</v>
      </c>
      <c r="C36" s="13" t="s">
        <v>116</v>
      </c>
      <c r="D36" s="5" t="s">
        <v>89</v>
      </c>
      <c r="E36" s="7">
        <f>MIN(E37,E38)</f>
        <v>46212</v>
      </c>
      <c r="F36" s="7">
        <f>MAX(F37,F38)</f>
        <v>46223</v>
      </c>
    </row>
    <row r="37" ht="14.25" customHeight="1" outlineLevel="2">
      <c r="A37" s="8" t="s">
        <v>117</v>
      </c>
      <c r="B37" s="9" t="s">
        <v>118</v>
      </c>
      <c r="C37" s="9" t="s">
        <v>119</v>
      </c>
      <c r="D37" s="8" t="s">
        <v>89</v>
      </c>
      <c r="E37" s="10">
        <v>46212.0</v>
      </c>
      <c r="F37" s="10">
        <v>46217.0</v>
      </c>
    </row>
    <row r="38" ht="14.25" customHeight="1" outlineLevel="2">
      <c r="A38" s="8" t="s">
        <v>120</v>
      </c>
      <c r="B38" s="9" t="s">
        <v>121</v>
      </c>
      <c r="C38" s="9" t="s">
        <v>122</v>
      </c>
      <c r="D38" s="8" t="s">
        <v>123</v>
      </c>
      <c r="E38" s="10">
        <v>46218.0</v>
      </c>
      <c r="F38" s="10">
        <v>46223.0</v>
      </c>
    </row>
    <row r="39" ht="14.25" customHeight="1" outlineLevel="1">
      <c r="A39" s="5" t="s">
        <v>124</v>
      </c>
      <c r="B39" s="6" t="s">
        <v>125</v>
      </c>
      <c r="C39" s="6" t="s">
        <v>126</v>
      </c>
      <c r="D39" s="5" t="s">
        <v>127</v>
      </c>
      <c r="E39" s="7">
        <f>MIN(E40,E41,E42,E43,E44,E45)</f>
        <v>46206</v>
      </c>
      <c r="F39" s="7">
        <f>MAX(F40,F41,F42,F43,F44,F45)</f>
        <v>46224</v>
      </c>
    </row>
    <row r="40" ht="14.25" customHeight="1" outlineLevel="2">
      <c r="A40" s="8" t="s">
        <v>128</v>
      </c>
      <c r="B40" s="9" t="s">
        <v>129</v>
      </c>
      <c r="C40" s="9" t="s">
        <v>130</v>
      </c>
      <c r="D40" s="8" t="s">
        <v>127</v>
      </c>
      <c r="E40" s="10">
        <v>46206.0</v>
      </c>
      <c r="F40" s="10">
        <v>46209.0</v>
      </c>
    </row>
    <row r="41" ht="14.25" customHeight="1" outlineLevel="2">
      <c r="A41" s="8" t="s">
        <v>131</v>
      </c>
      <c r="B41" s="9" t="s">
        <v>132</v>
      </c>
      <c r="C41" s="9" t="s">
        <v>133</v>
      </c>
      <c r="D41" s="8" t="s">
        <v>127</v>
      </c>
      <c r="E41" s="10">
        <v>46210.0</v>
      </c>
      <c r="F41" s="10">
        <v>46213.0</v>
      </c>
    </row>
    <row r="42" ht="14.25" customHeight="1" outlineLevel="2">
      <c r="A42" s="8" t="s">
        <v>134</v>
      </c>
      <c r="B42" s="9" t="s">
        <v>135</v>
      </c>
      <c r="C42" s="9" t="s">
        <v>136</v>
      </c>
      <c r="D42" s="8" t="s">
        <v>127</v>
      </c>
      <c r="E42" s="10">
        <v>46216.0</v>
      </c>
      <c r="F42" s="10">
        <v>46219.0</v>
      </c>
    </row>
    <row r="43" ht="14.25" customHeight="1" outlineLevel="2">
      <c r="A43" s="8" t="s">
        <v>137</v>
      </c>
      <c r="B43" s="9" t="s">
        <v>138</v>
      </c>
      <c r="C43" s="9" t="s">
        <v>139</v>
      </c>
      <c r="D43" s="8" t="s">
        <v>127</v>
      </c>
      <c r="E43" s="10">
        <v>46217.0</v>
      </c>
      <c r="F43" s="10">
        <v>46223.0</v>
      </c>
    </row>
    <row r="44" ht="14.25" customHeight="1" outlineLevel="2">
      <c r="A44" s="8" t="s">
        <v>140</v>
      </c>
      <c r="B44" s="9" t="s">
        <v>141</v>
      </c>
      <c r="C44" s="9" t="s">
        <v>142</v>
      </c>
      <c r="D44" s="8" t="s">
        <v>127</v>
      </c>
      <c r="E44" s="10">
        <v>46218.0</v>
      </c>
      <c r="F44" s="10">
        <v>46223.0</v>
      </c>
    </row>
    <row r="45" ht="14.25" customHeight="1" outlineLevel="2">
      <c r="A45" s="8" t="s">
        <v>143</v>
      </c>
      <c r="B45" s="12" t="s">
        <v>144</v>
      </c>
      <c r="C45" s="9" t="s">
        <v>145</v>
      </c>
      <c r="D45" s="8" t="s">
        <v>127</v>
      </c>
      <c r="E45" s="10">
        <v>46224.0</v>
      </c>
      <c r="F45" s="10">
        <v>46224.0</v>
      </c>
    </row>
    <row r="46" ht="14.25" customHeight="1" outlineLevel="1">
      <c r="A46" s="5" t="s">
        <v>146</v>
      </c>
      <c r="B46" s="13" t="s">
        <v>147</v>
      </c>
      <c r="C46" s="13" t="s">
        <v>148</v>
      </c>
      <c r="D46" s="5" t="s">
        <v>89</v>
      </c>
      <c r="E46" s="7">
        <f>MIN(E47:E49)</f>
        <v>46213</v>
      </c>
      <c r="F46" s="7">
        <f>MAX(F47:F49)</f>
        <v>46224</v>
      </c>
    </row>
    <row r="47" ht="14.25" customHeight="1" outlineLevel="2">
      <c r="A47" s="8" t="s">
        <v>149</v>
      </c>
      <c r="B47" s="12" t="s">
        <v>150</v>
      </c>
      <c r="C47" s="12" t="s">
        <v>151</v>
      </c>
      <c r="D47" s="8" t="s">
        <v>89</v>
      </c>
      <c r="E47" s="10">
        <v>46213.0</v>
      </c>
      <c r="F47" s="10">
        <v>46218.0</v>
      </c>
    </row>
    <row r="48" ht="14.25" customHeight="1" outlineLevel="2">
      <c r="A48" s="8" t="s">
        <v>152</v>
      </c>
      <c r="B48" s="12" t="s">
        <v>153</v>
      </c>
      <c r="C48" s="12" t="s">
        <v>154</v>
      </c>
      <c r="D48" s="8" t="s">
        <v>89</v>
      </c>
      <c r="E48" s="10">
        <v>46217.0</v>
      </c>
      <c r="F48" s="10">
        <v>46220.0</v>
      </c>
    </row>
    <row r="49" ht="14.25" customHeight="1" outlineLevel="2">
      <c r="A49" s="8" t="s">
        <v>155</v>
      </c>
      <c r="B49" s="12" t="s">
        <v>156</v>
      </c>
      <c r="C49" s="12" t="s">
        <v>157</v>
      </c>
      <c r="D49" s="8" t="s">
        <v>89</v>
      </c>
      <c r="E49" s="10">
        <v>46218.0</v>
      </c>
      <c r="F49" s="10">
        <v>46224.0</v>
      </c>
    </row>
    <row r="50" ht="14.25" customHeight="1" outlineLevel="1">
      <c r="A50" s="5" t="s">
        <v>158</v>
      </c>
      <c r="B50" s="6" t="s">
        <v>159</v>
      </c>
      <c r="C50" s="6" t="s">
        <v>160</v>
      </c>
      <c r="D50" s="5" t="s">
        <v>123</v>
      </c>
      <c r="E50" s="7">
        <f>MIN(E51,E52,E53,E54)</f>
        <v>46218</v>
      </c>
      <c r="F50" s="7">
        <f>MAX(F51,F52,F53,F54)</f>
        <v>46230</v>
      </c>
    </row>
    <row r="51" ht="14.25" customHeight="1" outlineLevel="2">
      <c r="A51" s="8" t="s">
        <v>161</v>
      </c>
      <c r="B51" s="9" t="s">
        <v>162</v>
      </c>
      <c r="C51" s="9" t="s">
        <v>163</v>
      </c>
      <c r="D51" s="8" t="s">
        <v>123</v>
      </c>
      <c r="E51" s="10">
        <v>46218.0</v>
      </c>
      <c r="F51" s="10">
        <v>46225.0</v>
      </c>
    </row>
    <row r="52" ht="14.25" customHeight="1" outlineLevel="2">
      <c r="A52" s="8" t="s">
        <v>164</v>
      </c>
      <c r="B52" s="9" t="s">
        <v>165</v>
      </c>
      <c r="C52" s="9" t="s">
        <v>166</v>
      </c>
      <c r="D52" s="8" t="s">
        <v>123</v>
      </c>
      <c r="E52" s="10">
        <v>46218.0</v>
      </c>
      <c r="F52" s="10">
        <v>46230.0</v>
      </c>
    </row>
    <row r="53" ht="14.25" customHeight="1" outlineLevel="2">
      <c r="A53" s="8" t="s">
        <v>167</v>
      </c>
      <c r="B53" s="9" t="s">
        <v>168</v>
      </c>
      <c r="C53" s="9" t="s">
        <v>169</v>
      </c>
      <c r="D53" s="8" t="s">
        <v>123</v>
      </c>
      <c r="E53" s="10">
        <v>46218.0</v>
      </c>
      <c r="F53" s="10">
        <v>46225.0</v>
      </c>
    </row>
    <row r="54" ht="14.25" customHeight="1" outlineLevel="2">
      <c r="A54" s="8" t="s">
        <v>170</v>
      </c>
      <c r="B54" s="12" t="s">
        <v>171</v>
      </c>
      <c r="C54" s="9" t="s">
        <v>172</v>
      </c>
      <c r="D54" s="8" t="s">
        <v>123</v>
      </c>
      <c r="E54" s="10">
        <v>46224.0</v>
      </c>
      <c r="F54" s="10">
        <v>46226.0</v>
      </c>
    </row>
    <row r="55" ht="14.25" customHeight="1" outlineLevel="1">
      <c r="A55" s="5" t="s">
        <v>173</v>
      </c>
      <c r="B55" s="6" t="s">
        <v>174</v>
      </c>
      <c r="C55" s="6" t="s">
        <v>175</v>
      </c>
      <c r="D55" s="5" t="s">
        <v>89</v>
      </c>
      <c r="E55" s="7">
        <f>MIN(E56:E57)</f>
        <v>46224</v>
      </c>
      <c r="F55" s="7">
        <f>MAX(F56:F57)</f>
        <v>46234</v>
      </c>
    </row>
    <row r="56" ht="14.25" customHeight="1" outlineLevel="2">
      <c r="A56" s="8" t="s">
        <v>176</v>
      </c>
      <c r="B56" s="12" t="s">
        <v>177</v>
      </c>
      <c r="C56" s="12" t="s">
        <v>178</v>
      </c>
      <c r="D56" s="8" t="s">
        <v>89</v>
      </c>
      <c r="E56" s="10">
        <v>46224.0</v>
      </c>
      <c r="F56" s="10">
        <v>46232.0</v>
      </c>
    </row>
    <row r="57" ht="14.25" customHeight="1" outlineLevel="2">
      <c r="A57" s="8" t="s">
        <v>179</v>
      </c>
      <c r="B57" s="9" t="s">
        <v>180</v>
      </c>
      <c r="C57" s="9" t="s">
        <v>181</v>
      </c>
      <c r="D57" s="8" t="s">
        <v>9</v>
      </c>
      <c r="E57" s="10">
        <v>46234.0</v>
      </c>
      <c r="F57" s="10">
        <v>46234.0</v>
      </c>
    </row>
    <row r="58" ht="14.25" customHeight="1">
      <c r="A58" s="2" t="s">
        <v>182</v>
      </c>
      <c r="B58" s="15" t="s">
        <v>183</v>
      </c>
      <c r="C58" s="3" t="s">
        <v>184</v>
      </c>
      <c r="D58" s="2" t="s">
        <v>123</v>
      </c>
      <c r="E58" s="4">
        <f>MIN(E59,E68,E91,E108,E134,E156)</f>
        <v>46237</v>
      </c>
      <c r="F58" s="4">
        <f>MAX(F59,F68,F91,F108,F134,F156)</f>
        <v>46276</v>
      </c>
    </row>
    <row r="59" ht="14.25" customHeight="1" outlineLevel="1">
      <c r="A59" s="5" t="s">
        <v>185</v>
      </c>
      <c r="B59" s="6" t="s">
        <v>186</v>
      </c>
      <c r="C59" s="6" t="s">
        <v>187</v>
      </c>
      <c r="D59" s="5" t="s">
        <v>113</v>
      </c>
      <c r="E59" s="7">
        <f>MIN(E60,E61,E62,E63,E64,E65,E66,E67)</f>
        <v>46237</v>
      </c>
      <c r="F59" s="7">
        <f>MAX(F60,F61,F62,F63,F64,F65,F66,F67)</f>
        <v>46252</v>
      </c>
    </row>
    <row r="60" ht="14.25" customHeight="1" outlineLevel="2">
      <c r="A60" s="8" t="s">
        <v>188</v>
      </c>
      <c r="B60" s="9" t="s">
        <v>189</v>
      </c>
      <c r="C60" s="9" t="s">
        <v>190</v>
      </c>
      <c r="D60" s="8" t="s">
        <v>113</v>
      </c>
      <c r="E60" s="10">
        <v>46237.0</v>
      </c>
      <c r="F60" s="10">
        <v>46239.0</v>
      </c>
    </row>
    <row r="61" ht="14.25" customHeight="1" outlineLevel="2">
      <c r="A61" s="8" t="s">
        <v>191</v>
      </c>
      <c r="B61" s="9" t="s">
        <v>192</v>
      </c>
      <c r="C61" s="9" t="s">
        <v>193</v>
      </c>
      <c r="D61" s="8" t="s">
        <v>113</v>
      </c>
      <c r="E61" s="10">
        <v>46240.0</v>
      </c>
      <c r="F61" s="10">
        <v>46241.0</v>
      </c>
    </row>
    <row r="62" ht="14.25" customHeight="1" outlineLevel="2">
      <c r="A62" s="8" t="s">
        <v>194</v>
      </c>
      <c r="B62" s="9" t="s">
        <v>195</v>
      </c>
      <c r="C62" s="9" t="s">
        <v>196</v>
      </c>
      <c r="D62" s="8" t="s">
        <v>113</v>
      </c>
      <c r="E62" s="10">
        <v>46246.0</v>
      </c>
      <c r="F62" s="10">
        <v>46251.0</v>
      </c>
    </row>
    <row r="63" ht="14.25" customHeight="1" outlineLevel="2">
      <c r="A63" s="8" t="s">
        <v>197</v>
      </c>
      <c r="B63" s="9" t="s">
        <v>198</v>
      </c>
      <c r="C63" s="9" t="s">
        <v>199</v>
      </c>
      <c r="D63" s="8" t="s">
        <v>113</v>
      </c>
      <c r="E63" s="10">
        <v>46239.0</v>
      </c>
      <c r="F63" s="10">
        <v>46244.0</v>
      </c>
    </row>
    <row r="64" ht="14.25" customHeight="1" outlineLevel="2">
      <c r="A64" s="8" t="s">
        <v>200</v>
      </c>
      <c r="B64" s="9" t="s">
        <v>201</v>
      </c>
      <c r="C64" s="9" t="s">
        <v>202</v>
      </c>
      <c r="D64" s="8" t="s">
        <v>113</v>
      </c>
      <c r="E64" s="10">
        <v>46246.0</v>
      </c>
      <c r="F64" s="10">
        <v>46251.0</v>
      </c>
    </row>
    <row r="65" ht="14.25" customHeight="1" outlineLevel="2">
      <c r="A65" s="8" t="s">
        <v>203</v>
      </c>
      <c r="B65" s="9" t="s">
        <v>204</v>
      </c>
      <c r="C65" s="9" t="s">
        <v>205</v>
      </c>
      <c r="D65" s="8" t="s">
        <v>123</v>
      </c>
      <c r="E65" s="10">
        <v>46245.0</v>
      </c>
      <c r="F65" s="10">
        <v>46248.0</v>
      </c>
    </row>
    <row r="66" ht="14.25" customHeight="1" outlineLevel="2">
      <c r="A66" s="8" t="s">
        <v>206</v>
      </c>
      <c r="B66" s="9" t="s">
        <v>207</v>
      </c>
      <c r="C66" s="9" t="s">
        <v>208</v>
      </c>
      <c r="D66" s="8" t="s">
        <v>123</v>
      </c>
      <c r="E66" s="10">
        <v>46245.0</v>
      </c>
      <c r="F66" s="10">
        <v>46248.0</v>
      </c>
    </row>
    <row r="67" ht="14.25" customHeight="1" outlineLevel="2">
      <c r="A67" s="8" t="s">
        <v>209</v>
      </c>
      <c r="B67" s="9" t="s">
        <v>210</v>
      </c>
      <c r="C67" s="9" t="s">
        <v>211</v>
      </c>
      <c r="D67" s="8" t="s">
        <v>123</v>
      </c>
      <c r="E67" s="10">
        <v>46247.0</v>
      </c>
      <c r="F67" s="10">
        <v>46252.0</v>
      </c>
    </row>
    <row r="68" ht="14.25" customHeight="1" outlineLevel="1">
      <c r="A68" s="5" t="s">
        <v>212</v>
      </c>
      <c r="B68" s="6" t="s">
        <v>213</v>
      </c>
      <c r="C68" s="6" t="s">
        <v>214</v>
      </c>
      <c r="D68" s="5" t="s">
        <v>123</v>
      </c>
      <c r="E68" s="7">
        <f>MIN(E69,E74,E79,E83,E87)</f>
        <v>46248</v>
      </c>
      <c r="F68" s="7">
        <f>MAX(F69,F74,F79,F83,F87)</f>
        <v>46254</v>
      </c>
    </row>
    <row r="69" ht="14.25" customHeight="1" outlineLevel="2">
      <c r="A69" s="25" t="s">
        <v>215</v>
      </c>
      <c r="B69" s="26" t="s">
        <v>216</v>
      </c>
      <c r="C69" s="26" t="s">
        <v>217</v>
      </c>
      <c r="D69" s="25" t="s">
        <v>123</v>
      </c>
      <c r="E69" s="27">
        <f>MIN(E70,E71,E72,E73)</f>
        <v>46248</v>
      </c>
      <c r="F69" s="27">
        <f>MAX(F70,F71,F72,F73)</f>
        <v>46253</v>
      </c>
    </row>
    <row r="70" ht="14.25" customHeight="1" outlineLevel="3">
      <c r="A70" s="8" t="s">
        <v>218</v>
      </c>
      <c r="B70" s="9" t="s">
        <v>219</v>
      </c>
      <c r="C70" s="9"/>
      <c r="D70" s="8" t="s">
        <v>123</v>
      </c>
      <c r="E70" s="10">
        <v>46248.0</v>
      </c>
      <c r="F70" s="10">
        <v>46253.0</v>
      </c>
    </row>
    <row r="71" ht="14.25" customHeight="1" outlineLevel="3">
      <c r="A71" s="8" t="s">
        <v>220</v>
      </c>
      <c r="B71" s="9" t="s">
        <v>221</v>
      </c>
      <c r="C71" s="9"/>
      <c r="D71" s="8" t="s">
        <v>123</v>
      </c>
      <c r="E71" s="10">
        <v>46248.0</v>
      </c>
      <c r="F71" s="10">
        <v>46248.0</v>
      </c>
    </row>
    <row r="72" ht="14.25" customHeight="1" outlineLevel="3">
      <c r="A72" s="8" t="s">
        <v>222</v>
      </c>
      <c r="B72" s="9" t="s">
        <v>223</v>
      </c>
      <c r="C72" s="9"/>
      <c r="D72" s="8" t="s">
        <v>123</v>
      </c>
      <c r="E72" s="10">
        <v>46252.0</v>
      </c>
      <c r="F72" s="10">
        <v>46252.0</v>
      </c>
    </row>
    <row r="73" ht="14.25" customHeight="1" outlineLevel="3">
      <c r="A73" s="8" t="s">
        <v>224</v>
      </c>
      <c r="B73" s="9" t="s">
        <v>225</v>
      </c>
      <c r="C73" s="9"/>
      <c r="D73" s="8" t="s">
        <v>123</v>
      </c>
      <c r="E73" s="10">
        <v>46253.0</v>
      </c>
      <c r="F73" s="10">
        <v>46253.0</v>
      </c>
    </row>
    <row r="74" ht="14.25" customHeight="1" outlineLevel="2">
      <c r="A74" s="25" t="s">
        <v>226</v>
      </c>
      <c r="B74" s="26" t="s">
        <v>227</v>
      </c>
      <c r="C74" s="26" t="s">
        <v>228</v>
      </c>
      <c r="D74" s="25" t="s">
        <v>123</v>
      </c>
      <c r="E74" s="27">
        <f>MIN(E75,E76,E77,E78)</f>
        <v>46248</v>
      </c>
      <c r="F74" s="27">
        <f>MAX(F75,F76,F77,F78)</f>
        <v>46253</v>
      </c>
    </row>
    <row r="75" ht="14.25" customHeight="1" outlineLevel="3">
      <c r="A75" s="8" t="s">
        <v>229</v>
      </c>
      <c r="B75" s="9" t="s">
        <v>230</v>
      </c>
      <c r="C75" s="9"/>
      <c r="D75" s="8" t="s">
        <v>123</v>
      </c>
      <c r="E75" s="10">
        <v>46248.0</v>
      </c>
      <c r="F75" s="10">
        <v>46248.0</v>
      </c>
    </row>
    <row r="76" ht="14.25" customHeight="1" outlineLevel="3">
      <c r="A76" s="8" t="s">
        <v>231</v>
      </c>
      <c r="B76" s="9" t="s">
        <v>232</v>
      </c>
      <c r="C76" s="9"/>
      <c r="D76" s="8" t="s">
        <v>123</v>
      </c>
      <c r="E76" s="10">
        <v>46248.0</v>
      </c>
      <c r="F76" s="10">
        <v>46248.0</v>
      </c>
    </row>
    <row r="77" ht="14.25" customHeight="1" outlineLevel="3">
      <c r="A77" s="8" t="s">
        <v>233</v>
      </c>
      <c r="B77" s="9" t="s">
        <v>234</v>
      </c>
      <c r="C77" s="9"/>
      <c r="D77" s="8" t="s">
        <v>123</v>
      </c>
      <c r="E77" s="10">
        <v>46252.0</v>
      </c>
      <c r="F77" s="10">
        <v>46252.0</v>
      </c>
    </row>
    <row r="78" ht="14.25" customHeight="1" outlineLevel="3">
      <c r="A78" s="8" t="s">
        <v>235</v>
      </c>
      <c r="B78" s="9" t="s">
        <v>236</v>
      </c>
      <c r="C78" s="9"/>
      <c r="D78" s="8" t="s">
        <v>123</v>
      </c>
      <c r="E78" s="10">
        <v>46253.0</v>
      </c>
      <c r="F78" s="10">
        <v>46253.0</v>
      </c>
    </row>
    <row r="79" ht="14.25" customHeight="1" outlineLevel="2">
      <c r="A79" s="25" t="s">
        <v>237</v>
      </c>
      <c r="B79" s="26" t="s">
        <v>238</v>
      </c>
      <c r="C79" s="26" t="s">
        <v>239</v>
      </c>
      <c r="D79" s="25" t="s">
        <v>123</v>
      </c>
      <c r="E79" s="27">
        <f>MIN(E80,E81,E82)</f>
        <v>46248</v>
      </c>
      <c r="F79" s="27">
        <f>MAX(F80,F81,F82)</f>
        <v>46252</v>
      </c>
    </row>
    <row r="80" ht="14.25" customHeight="1" outlineLevel="3">
      <c r="A80" s="8" t="s">
        <v>240</v>
      </c>
      <c r="B80" s="9" t="s">
        <v>241</v>
      </c>
      <c r="C80" s="9"/>
      <c r="D80" s="8" t="s">
        <v>123</v>
      </c>
      <c r="E80" s="10">
        <v>46248.0</v>
      </c>
      <c r="F80" s="10">
        <v>46248.0</v>
      </c>
    </row>
    <row r="81" ht="14.25" customHeight="1" outlineLevel="3">
      <c r="A81" s="8" t="s">
        <v>242</v>
      </c>
      <c r="B81" s="9" t="s">
        <v>243</v>
      </c>
      <c r="C81" s="9"/>
      <c r="D81" s="8" t="s">
        <v>123</v>
      </c>
      <c r="E81" s="10">
        <v>46251.0</v>
      </c>
      <c r="F81" s="10">
        <v>46251.0</v>
      </c>
    </row>
    <row r="82" ht="14.25" customHeight="1" outlineLevel="3">
      <c r="A82" s="8" t="s">
        <v>244</v>
      </c>
      <c r="B82" s="9" t="s">
        <v>245</v>
      </c>
      <c r="C82" s="9"/>
      <c r="D82" s="8" t="s">
        <v>123</v>
      </c>
      <c r="E82" s="10">
        <v>46252.0</v>
      </c>
      <c r="F82" s="10">
        <v>46252.0</v>
      </c>
    </row>
    <row r="83" ht="14.25" customHeight="1" outlineLevel="2">
      <c r="A83" s="25" t="s">
        <v>246</v>
      </c>
      <c r="B83" s="26" t="s">
        <v>247</v>
      </c>
      <c r="C83" s="26" t="s">
        <v>248</v>
      </c>
      <c r="D83" s="25" t="s">
        <v>123</v>
      </c>
      <c r="E83" s="27">
        <f>MIN(E84,E85,E86)</f>
        <v>46248</v>
      </c>
      <c r="F83" s="27">
        <f>MAX(F84,F85,F86)</f>
        <v>46253</v>
      </c>
    </row>
    <row r="84" ht="14.25" customHeight="1" outlineLevel="3">
      <c r="A84" s="8" t="s">
        <v>249</v>
      </c>
      <c r="B84" s="9" t="s">
        <v>250</v>
      </c>
      <c r="C84" s="9"/>
      <c r="D84" s="8" t="s">
        <v>123</v>
      </c>
      <c r="E84" s="10">
        <v>46248.0</v>
      </c>
      <c r="F84" s="10">
        <v>46248.0</v>
      </c>
    </row>
    <row r="85" ht="14.25" customHeight="1" outlineLevel="3">
      <c r="A85" s="8" t="s">
        <v>251</v>
      </c>
      <c r="B85" s="9" t="s">
        <v>252</v>
      </c>
      <c r="C85" s="9"/>
      <c r="D85" s="8" t="s">
        <v>123</v>
      </c>
      <c r="E85" s="10">
        <v>46252.0</v>
      </c>
      <c r="F85" s="10">
        <v>46252.0</v>
      </c>
    </row>
    <row r="86" ht="14.25" customHeight="1" outlineLevel="3">
      <c r="A86" s="8" t="s">
        <v>253</v>
      </c>
      <c r="B86" s="9" t="s">
        <v>245</v>
      </c>
      <c r="C86" s="9"/>
      <c r="D86" s="8" t="s">
        <v>123</v>
      </c>
      <c r="E86" s="10">
        <v>46253.0</v>
      </c>
      <c r="F86" s="10">
        <v>46253.0</v>
      </c>
    </row>
    <row r="87" ht="14.25" customHeight="1" outlineLevel="2">
      <c r="A87" s="25" t="s">
        <v>254</v>
      </c>
      <c r="B87" s="26" t="s">
        <v>255</v>
      </c>
      <c r="C87" s="26" t="s">
        <v>256</v>
      </c>
      <c r="D87" s="25" t="s">
        <v>123</v>
      </c>
      <c r="E87" s="27">
        <f>MIN(E88,E89,E90)</f>
        <v>46252</v>
      </c>
      <c r="F87" s="27">
        <f>MAX(F88,F89,F90)</f>
        <v>46254</v>
      </c>
    </row>
    <row r="88" ht="14.25" customHeight="1" outlineLevel="3">
      <c r="A88" s="8" t="s">
        <v>257</v>
      </c>
      <c r="B88" s="9" t="s">
        <v>258</v>
      </c>
      <c r="C88" s="9"/>
      <c r="D88" s="8" t="s">
        <v>123</v>
      </c>
      <c r="E88" s="10">
        <v>46252.0</v>
      </c>
      <c r="F88" s="10">
        <v>46252.0</v>
      </c>
    </row>
    <row r="89" ht="14.25" customHeight="1" outlineLevel="3">
      <c r="A89" s="8" t="s">
        <v>259</v>
      </c>
      <c r="B89" s="9" t="s">
        <v>260</v>
      </c>
      <c r="C89" s="9"/>
      <c r="D89" s="8" t="s">
        <v>123</v>
      </c>
      <c r="E89" s="10">
        <v>46253.0</v>
      </c>
      <c r="F89" s="10">
        <v>46253.0</v>
      </c>
    </row>
    <row r="90" ht="14.25" customHeight="1" outlineLevel="3">
      <c r="A90" s="8" t="s">
        <v>261</v>
      </c>
      <c r="B90" s="9" t="s">
        <v>245</v>
      </c>
      <c r="C90" s="9"/>
      <c r="D90" s="8" t="s">
        <v>123</v>
      </c>
      <c r="E90" s="10">
        <v>46254.0</v>
      </c>
      <c r="F90" s="10">
        <v>46254.0</v>
      </c>
    </row>
    <row r="91" ht="14.25" customHeight="1" outlineLevel="1">
      <c r="A91" s="5" t="s">
        <v>262</v>
      </c>
      <c r="B91" s="6" t="s">
        <v>263</v>
      </c>
      <c r="C91" s="6" t="s">
        <v>264</v>
      </c>
      <c r="D91" s="5" t="s">
        <v>123</v>
      </c>
      <c r="E91" s="7">
        <f>MIN(E92,E97,E101,E105)</f>
        <v>46248</v>
      </c>
      <c r="F91" s="7">
        <f>MAX(F92,F97,F101,F105)</f>
        <v>46254</v>
      </c>
    </row>
    <row r="92" ht="14.25" customHeight="1" outlineLevel="2">
      <c r="A92" s="25" t="s">
        <v>265</v>
      </c>
      <c r="B92" s="26" t="s">
        <v>266</v>
      </c>
      <c r="C92" s="26" t="s">
        <v>267</v>
      </c>
      <c r="D92" s="25" t="s">
        <v>123</v>
      </c>
      <c r="E92" s="27">
        <f>MIN(E93,E94,E95,E96)</f>
        <v>46248</v>
      </c>
      <c r="F92" s="27">
        <f>MAX(F93,F94,F95,F96)</f>
        <v>46254</v>
      </c>
    </row>
    <row r="93" ht="14.25" customHeight="1" outlineLevel="3">
      <c r="A93" s="8" t="s">
        <v>268</v>
      </c>
      <c r="B93" s="9" t="s">
        <v>269</v>
      </c>
      <c r="C93" s="9"/>
      <c r="D93" s="8" t="s">
        <v>123</v>
      </c>
      <c r="E93" s="10">
        <v>46248.0</v>
      </c>
      <c r="F93" s="10">
        <v>46251.0</v>
      </c>
    </row>
    <row r="94" ht="14.25" customHeight="1" outlineLevel="3">
      <c r="A94" s="8" t="s">
        <v>270</v>
      </c>
      <c r="B94" s="12" t="s">
        <v>271</v>
      </c>
      <c r="C94" s="9"/>
      <c r="D94" s="8" t="s">
        <v>123</v>
      </c>
      <c r="E94" s="10">
        <v>46248.0</v>
      </c>
      <c r="F94" s="10">
        <v>46251.0</v>
      </c>
    </row>
    <row r="95" ht="14.25" customHeight="1" outlineLevel="3">
      <c r="A95" s="8" t="s">
        <v>272</v>
      </c>
      <c r="B95" s="9" t="s">
        <v>273</v>
      </c>
      <c r="C95" s="9"/>
      <c r="D95" s="8" t="s">
        <v>123</v>
      </c>
      <c r="E95" s="10">
        <v>46253.0</v>
      </c>
      <c r="F95" s="10">
        <v>46253.0</v>
      </c>
    </row>
    <row r="96" ht="14.25" customHeight="1" outlineLevel="3">
      <c r="A96" s="8" t="s">
        <v>274</v>
      </c>
      <c r="B96" s="9" t="s">
        <v>275</v>
      </c>
      <c r="C96" s="9"/>
      <c r="D96" s="8" t="s">
        <v>123</v>
      </c>
      <c r="E96" s="10">
        <v>46254.0</v>
      </c>
      <c r="F96" s="10">
        <v>46254.0</v>
      </c>
    </row>
    <row r="97" ht="14.25" customHeight="1" outlineLevel="2">
      <c r="A97" s="25" t="s">
        <v>276</v>
      </c>
      <c r="B97" s="26" t="s">
        <v>277</v>
      </c>
      <c r="C97" s="26" t="s">
        <v>278</v>
      </c>
      <c r="D97" s="25" t="s">
        <v>123</v>
      </c>
      <c r="E97" s="27">
        <f>MIN(E98,E99,E100)</f>
        <v>46248</v>
      </c>
      <c r="F97" s="27">
        <f>MAX(F98,F99,F100)</f>
        <v>46253</v>
      </c>
    </row>
    <row r="98" ht="14.25" customHeight="1" outlineLevel="3">
      <c r="A98" s="8" t="s">
        <v>279</v>
      </c>
      <c r="B98" s="9" t="s">
        <v>280</v>
      </c>
      <c r="C98" s="9"/>
      <c r="D98" s="8" t="s">
        <v>123</v>
      </c>
      <c r="E98" s="10">
        <v>46248.0</v>
      </c>
      <c r="F98" s="10">
        <v>46248.0</v>
      </c>
    </row>
    <row r="99" ht="14.25" customHeight="1" outlineLevel="3">
      <c r="A99" s="8" t="s">
        <v>281</v>
      </c>
      <c r="B99" s="9" t="s">
        <v>282</v>
      </c>
      <c r="C99" s="9"/>
      <c r="D99" s="8" t="s">
        <v>123</v>
      </c>
      <c r="E99" s="10">
        <v>46252.0</v>
      </c>
      <c r="F99" s="10">
        <v>46253.0</v>
      </c>
    </row>
    <row r="100" ht="14.25" customHeight="1" outlineLevel="3">
      <c r="A100" s="8" t="s">
        <v>283</v>
      </c>
      <c r="B100" s="9" t="s">
        <v>245</v>
      </c>
      <c r="C100" s="9"/>
      <c r="D100" s="8" t="s">
        <v>123</v>
      </c>
      <c r="E100" s="10">
        <v>46253.0</v>
      </c>
      <c r="F100" s="10">
        <v>46253.0</v>
      </c>
    </row>
    <row r="101" ht="14.25" customHeight="1" outlineLevel="2">
      <c r="A101" s="25" t="s">
        <v>284</v>
      </c>
      <c r="B101" s="26" t="s">
        <v>285</v>
      </c>
      <c r="C101" s="26" t="s">
        <v>286</v>
      </c>
      <c r="D101" s="25" t="s">
        <v>123</v>
      </c>
      <c r="E101" s="27">
        <f>MIN(E102,E103,E104)</f>
        <v>46248</v>
      </c>
      <c r="F101" s="27">
        <f>MAX(F102,F103,F104)</f>
        <v>46253</v>
      </c>
    </row>
    <row r="102" ht="14.25" customHeight="1" outlineLevel="3">
      <c r="A102" s="8" t="s">
        <v>287</v>
      </c>
      <c r="B102" s="9" t="s">
        <v>288</v>
      </c>
      <c r="C102" s="9"/>
      <c r="D102" s="8" t="s">
        <v>123</v>
      </c>
      <c r="E102" s="10">
        <v>46248.0</v>
      </c>
      <c r="F102" s="10">
        <v>46248.0</v>
      </c>
    </row>
    <row r="103" ht="14.25" customHeight="1" outlineLevel="3">
      <c r="A103" s="8" t="s">
        <v>289</v>
      </c>
      <c r="B103" s="9" t="s">
        <v>290</v>
      </c>
      <c r="C103" s="9"/>
      <c r="D103" s="8" t="s">
        <v>123</v>
      </c>
      <c r="E103" s="10">
        <v>46252.0</v>
      </c>
      <c r="F103" s="10">
        <v>46253.0</v>
      </c>
    </row>
    <row r="104" ht="14.25" customHeight="1" outlineLevel="3">
      <c r="A104" s="8" t="s">
        <v>291</v>
      </c>
      <c r="B104" s="9" t="s">
        <v>245</v>
      </c>
      <c r="C104" s="9"/>
      <c r="D104" s="8" t="s">
        <v>123</v>
      </c>
      <c r="E104" s="10">
        <v>46253.0</v>
      </c>
      <c r="F104" s="10">
        <v>46253.0</v>
      </c>
    </row>
    <row r="105" ht="14.25" customHeight="1" outlineLevel="2">
      <c r="A105" s="25" t="s">
        <v>292</v>
      </c>
      <c r="B105" s="26" t="s">
        <v>293</v>
      </c>
      <c r="C105" s="26" t="s">
        <v>294</v>
      </c>
      <c r="D105" s="25" t="s">
        <v>123</v>
      </c>
      <c r="E105" s="27">
        <f>MIN(E106,E107)</f>
        <v>46252</v>
      </c>
      <c r="F105" s="27">
        <f>MAX(F106,F107)</f>
        <v>46254</v>
      </c>
    </row>
    <row r="106" ht="14.25" customHeight="1" outlineLevel="3">
      <c r="A106" s="8" t="s">
        <v>295</v>
      </c>
      <c r="B106" s="9" t="s">
        <v>296</v>
      </c>
      <c r="C106" s="9"/>
      <c r="D106" s="8" t="s">
        <v>123</v>
      </c>
      <c r="E106" s="10">
        <v>46252.0</v>
      </c>
      <c r="F106" s="10">
        <v>46252.0</v>
      </c>
    </row>
    <row r="107" ht="14.25" customHeight="1" outlineLevel="3">
      <c r="A107" s="8" t="s">
        <v>297</v>
      </c>
      <c r="B107" s="9" t="s">
        <v>298</v>
      </c>
      <c r="C107" s="9"/>
      <c r="D107" s="8" t="s">
        <v>123</v>
      </c>
      <c r="E107" s="10">
        <v>46254.0</v>
      </c>
      <c r="F107" s="10">
        <v>46254.0</v>
      </c>
    </row>
    <row r="108" ht="14.25" customHeight="1" outlineLevel="1">
      <c r="A108" s="5" t="s">
        <v>299</v>
      </c>
      <c r="B108" s="6" t="s">
        <v>300</v>
      </c>
      <c r="C108" s="6" t="s">
        <v>301</v>
      </c>
      <c r="D108" s="5" t="s">
        <v>123</v>
      </c>
      <c r="E108" s="7">
        <f>MIN(E109,E114,E120,E129)</f>
        <v>46252</v>
      </c>
      <c r="F108" s="7">
        <f>MAX(F109,F114,F120,F129)</f>
        <v>46262</v>
      </c>
    </row>
    <row r="109" ht="14.25" customHeight="1" outlineLevel="2">
      <c r="A109" s="25" t="s">
        <v>302</v>
      </c>
      <c r="B109" s="26" t="s">
        <v>303</v>
      </c>
      <c r="C109" s="26" t="s">
        <v>304</v>
      </c>
      <c r="D109" s="25" t="s">
        <v>123</v>
      </c>
      <c r="E109" s="27">
        <f>MIN(E110,E111,E112,E113)</f>
        <v>46252</v>
      </c>
      <c r="F109" s="27">
        <f>MAX(F110,F111,F112,F113)</f>
        <v>46255</v>
      </c>
    </row>
    <row r="110" ht="14.25" customHeight="1" outlineLevel="3">
      <c r="A110" s="8" t="s">
        <v>305</v>
      </c>
      <c r="B110" s="9" t="s">
        <v>306</v>
      </c>
      <c r="C110" s="9"/>
      <c r="D110" s="8" t="s">
        <v>123</v>
      </c>
      <c r="E110" s="10">
        <v>46252.0</v>
      </c>
      <c r="F110" s="10">
        <v>46252.0</v>
      </c>
    </row>
    <row r="111" ht="14.25" customHeight="1" outlineLevel="3">
      <c r="A111" s="8" t="s">
        <v>307</v>
      </c>
      <c r="B111" s="9" t="s">
        <v>308</v>
      </c>
      <c r="C111" s="9"/>
      <c r="D111" s="8" t="s">
        <v>123</v>
      </c>
      <c r="E111" s="10">
        <v>46252.0</v>
      </c>
      <c r="F111" s="10">
        <v>46252.0</v>
      </c>
    </row>
    <row r="112" ht="14.25" customHeight="1" outlineLevel="3">
      <c r="A112" s="8" t="s">
        <v>309</v>
      </c>
      <c r="B112" s="9" t="s">
        <v>310</v>
      </c>
      <c r="C112" s="9"/>
      <c r="D112" s="8" t="s">
        <v>123</v>
      </c>
      <c r="E112" s="10">
        <v>46254.0</v>
      </c>
      <c r="F112" s="10">
        <v>46254.0</v>
      </c>
    </row>
    <row r="113" ht="14.25" customHeight="1" outlineLevel="3">
      <c r="A113" s="8" t="s">
        <v>311</v>
      </c>
      <c r="B113" s="9" t="s">
        <v>312</v>
      </c>
      <c r="C113" s="9"/>
      <c r="D113" s="8" t="s">
        <v>123</v>
      </c>
      <c r="E113" s="10">
        <v>46255.0</v>
      </c>
      <c r="F113" s="10">
        <v>46255.0</v>
      </c>
    </row>
    <row r="114" ht="14.25" customHeight="1" outlineLevel="2">
      <c r="A114" s="25" t="s">
        <v>313</v>
      </c>
      <c r="B114" s="26" t="s">
        <v>314</v>
      </c>
      <c r="C114" s="26" t="s">
        <v>315</v>
      </c>
      <c r="D114" s="25" t="s">
        <v>123</v>
      </c>
      <c r="E114" s="27">
        <f>MIN(E115,E116,E117,E118,E119)</f>
        <v>46253</v>
      </c>
      <c r="F114" s="27">
        <f>MAX(F115,F116,F117,F118,F119)</f>
        <v>46258</v>
      </c>
    </row>
    <row r="115" ht="14.25" customHeight="1" outlineLevel="3">
      <c r="A115" s="8" t="s">
        <v>316</v>
      </c>
      <c r="B115" s="9" t="s">
        <v>317</v>
      </c>
      <c r="C115" s="9"/>
      <c r="D115" s="8" t="s">
        <v>123</v>
      </c>
      <c r="E115" s="10">
        <v>46253.0</v>
      </c>
      <c r="F115" s="10">
        <v>46253.0</v>
      </c>
    </row>
    <row r="116" ht="14.25" customHeight="1" outlineLevel="3">
      <c r="A116" s="8" t="s">
        <v>318</v>
      </c>
      <c r="B116" s="9" t="s">
        <v>319</v>
      </c>
      <c r="C116" s="9"/>
      <c r="D116" s="8" t="s">
        <v>123</v>
      </c>
      <c r="E116" s="10">
        <v>46254.0</v>
      </c>
      <c r="F116" s="10">
        <v>46254.0</v>
      </c>
    </row>
    <row r="117" ht="14.25" customHeight="1" outlineLevel="3">
      <c r="A117" s="8" t="s">
        <v>320</v>
      </c>
      <c r="B117" s="9" t="s">
        <v>321</v>
      </c>
      <c r="C117" s="9"/>
      <c r="D117" s="8" t="s">
        <v>123</v>
      </c>
      <c r="E117" s="10">
        <v>46255.0</v>
      </c>
      <c r="F117" s="10">
        <v>46255.0</v>
      </c>
    </row>
    <row r="118" ht="14.25" customHeight="1" outlineLevel="3">
      <c r="A118" s="8" t="s">
        <v>322</v>
      </c>
      <c r="B118" s="9" t="s">
        <v>323</v>
      </c>
      <c r="C118" s="9"/>
      <c r="D118" s="8" t="s">
        <v>123</v>
      </c>
      <c r="E118" s="10">
        <v>46258.0</v>
      </c>
      <c r="F118" s="10">
        <v>46258.0</v>
      </c>
    </row>
    <row r="119" ht="14.25" customHeight="1" outlineLevel="3">
      <c r="A119" s="8" t="s">
        <v>324</v>
      </c>
      <c r="B119" s="9" t="s">
        <v>325</v>
      </c>
      <c r="C119" s="9"/>
      <c r="D119" s="8" t="s">
        <v>123</v>
      </c>
      <c r="E119" s="10">
        <v>46258.0</v>
      </c>
      <c r="F119" s="10">
        <v>46258.0</v>
      </c>
    </row>
    <row r="120" ht="14.25" customHeight="1" outlineLevel="2">
      <c r="A120" s="25" t="s">
        <v>326</v>
      </c>
      <c r="B120" s="26" t="s">
        <v>327</v>
      </c>
      <c r="C120" s="26" t="s">
        <v>328</v>
      </c>
      <c r="D120" s="25" t="s">
        <v>123</v>
      </c>
      <c r="E120" s="27">
        <f>MIN(E121,E122,E123,E124,E125,E126,E127,E128)</f>
        <v>46254</v>
      </c>
      <c r="F120" s="27">
        <f>MAX(F121,F122,F123,F124,F125,F126,F127,F128)</f>
        <v>46262</v>
      </c>
    </row>
    <row r="121" ht="14.25" customHeight="1" outlineLevel="3">
      <c r="A121" s="8" t="s">
        <v>329</v>
      </c>
      <c r="B121" s="9" t="s">
        <v>330</v>
      </c>
      <c r="C121" s="9"/>
      <c r="D121" s="8" t="s">
        <v>123</v>
      </c>
      <c r="E121" s="10">
        <v>46254.0</v>
      </c>
      <c r="F121" s="10">
        <v>46254.0</v>
      </c>
    </row>
    <row r="122" ht="14.25" customHeight="1" outlineLevel="3">
      <c r="A122" s="8" t="s">
        <v>331</v>
      </c>
      <c r="B122" s="9" t="s">
        <v>332</v>
      </c>
      <c r="C122" s="9"/>
      <c r="D122" s="8" t="s">
        <v>123</v>
      </c>
      <c r="E122" s="10">
        <v>46255.0</v>
      </c>
      <c r="F122" s="10">
        <v>46255.0</v>
      </c>
    </row>
    <row r="123" ht="14.25" customHeight="1" outlineLevel="3">
      <c r="A123" s="8" t="s">
        <v>333</v>
      </c>
      <c r="B123" s="9" t="s">
        <v>334</v>
      </c>
      <c r="C123" s="9"/>
      <c r="D123" s="8" t="s">
        <v>123</v>
      </c>
      <c r="E123" s="10">
        <v>46258.0</v>
      </c>
      <c r="F123" s="10">
        <v>46258.0</v>
      </c>
    </row>
    <row r="124" ht="14.25" customHeight="1" outlineLevel="3">
      <c r="A124" s="8" t="s">
        <v>335</v>
      </c>
      <c r="B124" s="9" t="s">
        <v>336</v>
      </c>
      <c r="C124" s="9"/>
      <c r="D124" s="8" t="s">
        <v>123</v>
      </c>
      <c r="E124" s="10">
        <v>46259.0</v>
      </c>
      <c r="F124" s="10">
        <v>46259.0</v>
      </c>
    </row>
    <row r="125" ht="14.25" customHeight="1" outlineLevel="3">
      <c r="A125" s="8" t="s">
        <v>337</v>
      </c>
      <c r="B125" s="9" t="s">
        <v>338</v>
      </c>
      <c r="C125" s="9"/>
      <c r="D125" s="8" t="s">
        <v>123</v>
      </c>
      <c r="E125" s="10">
        <v>46260.0</v>
      </c>
      <c r="F125" s="10">
        <v>46260.0</v>
      </c>
    </row>
    <row r="126" ht="14.25" customHeight="1" outlineLevel="3">
      <c r="A126" s="8" t="s">
        <v>339</v>
      </c>
      <c r="B126" s="9" t="s">
        <v>340</v>
      </c>
      <c r="C126" s="9"/>
      <c r="D126" s="8" t="s">
        <v>123</v>
      </c>
      <c r="E126" s="10">
        <v>46261.0</v>
      </c>
      <c r="F126" s="10">
        <v>46261.0</v>
      </c>
    </row>
    <row r="127" ht="14.25" customHeight="1" outlineLevel="3">
      <c r="A127" s="8" t="s">
        <v>341</v>
      </c>
      <c r="B127" s="9" t="s">
        <v>342</v>
      </c>
      <c r="C127" s="9"/>
      <c r="D127" s="8" t="s">
        <v>123</v>
      </c>
      <c r="E127" s="10">
        <v>46262.0</v>
      </c>
      <c r="F127" s="10">
        <v>46262.0</v>
      </c>
    </row>
    <row r="128" ht="14.25" customHeight="1" outlineLevel="3">
      <c r="A128" s="8" t="s">
        <v>343</v>
      </c>
      <c r="B128" s="9" t="s">
        <v>344</v>
      </c>
      <c r="C128" s="9"/>
      <c r="D128" s="8" t="s">
        <v>89</v>
      </c>
      <c r="E128" s="10">
        <v>46262.0</v>
      </c>
      <c r="F128" s="10">
        <v>46262.0</v>
      </c>
    </row>
    <row r="129" ht="14.25" customHeight="1" outlineLevel="2">
      <c r="A129" s="25" t="s">
        <v>345</v>
      </c>
      <c r="B129" s="26" t="s">
        <v>346</v>
      </c>
      <c r="C129" s="26" t="s">
        <v>347</v>
      </c>
      <c r="D129" s="25" t="s">
        <v>123</v>
      </c>
      <c r="E129" s="27">
        <f>MIN(E130,E131,E132,E133)</f>
        <v>46259</v>
      </c>
      <c r="F129" s="27">
        <f>MAX(F130,F131,F132,F133)</f>
        <v>46262</v>
      </c>
    </row>
    <row r="130" ht="14.25" customHeight="1" outlineLevel="3">
      <c r="A130" s="8" t="s">
        <v>348</v>
      </c>
      <c r="B130" s="9" t="s">
        <v>349</v>
      </c>
      <c r="C130" s="9"/>
      <c r="D130" s="8" t="s">
        <v>123</v>
      </c>
      <c r="E130" s="10">
        <v>46259.0</v>
      </c>
      <c r="F130" s="10">
        <v>46259.0</v>
      </c>
    </row>
    <row r="131" ht="14.25" customHeight="1" outlineLevel="3">
      <c r="A131" s="8" t="s">
        <v>350</v>
      </c>
      <c r="B131" s="9" t="s">
        <v>351</v>
      </c>
      <c r="C131" s="9"/>
      <c r="D131" s="8" t="s">
        <v>123</v>
      </c>
      <c r="E131" s="10">
        <v>46260.0</v>
      </c>
      <c r="F131" s="10">
        <v>46260.0</v>
      </c>
    </row>
    <row r="132" ht="14.25" customHeight="1" outlineLevel="3">
      <c r="A132" s="8" t="s">
        <v>352</v>
      </c>
      <c r="B132" s="9" t="s">
        <v>353</v>
      </c>
      <c r="C132" s="9"/>
      <c r="D132" s="8" t="s">
        <v>123</v>
      </c>
      <c r="E132" s="10">
        <v>46261.0</v>
      </c>
      <c r="F132" s="10">
        <v>46261.0</v>
      </c>
    </row>
    <row r="133" ht="14.25" customHeight="1" outlineLevel="3">
      <c r="A133" s="8" t="s">
        <v>354</v>
      </c>
      <c r="B133" s="9" t="s">
        <v>245</v>
      </c>
      <c r="C133" s="9"/>
      <c r="D133" s="8" t="s">
        <v>123</v>
      </c>
      <c r="E133" s="10">
        <v>46262.0</v>
      </c>
      <c r="F133" s="10">
        <v>46262.0</v>
      </c>
    </row>
    <row r="134" ht="14.25" customHeight="1" outlineLevel="1">
      <c r="A134" s="5" t="s">
        <v>355</v>
      </c>
      <c r="B134" s="13" t="s">
        <v>356</v>
      </c>
      <c r="C134" s="6" t="s">
        <v>357</v>
      </c>
      <c r="D134" s="5" t="s">
        <v>123</v>
      </c>
      <c r="E134" s="7">
        <f>MIN(E135,E139,E143,E147,E151,E154,E155)</f>
        <v>46255</v>
      </c>
      <c r="F134" s="7">
        <f>MAX(F135,F139,F143,F147,F151,F154,F155)</f>
        <v>46274</v>
      </c>
    </row>
    <row r="135" ht="14.25" customHeight="1" outlineLevel="2">
      <c r="A135" s="25" t="s">
        <v>358</v>
      </c>
      <c r="B135" s="26" t="s">
        <v>359</v>
      </c>
      <c r="C135" s="26" t="s">
        <v>360</v>
      </c>
      <c r="D135" s="25" t="s">
        <v>123</v>
      </c>
      <c r="E135" s="27">
        <f>MIN(E136,E137,E138)</f>
        <v>46255</v>
      </c>
      <c r="F135" s="27">
        <f>MAX(F136,F137,F138)</f>
        <v>46259</v>
      </c>
    </row>
    <row r="136" ht="14.25" customHeight="1" outlineLevel="3">
      <c r="A136" s="8" t="s">
        <v>361</v>
      </c>
      <c r="B136" s="9" t="s">
        <v>362</v>
      </c>
      <c r="C136" s="9"/>
      <c r="D136" s="8" t="s">
        <v>123</v>
      </c>
      <c r="E136" s="10">
        <v>46255.0</v>
      </c>
      <c r="F136" s="10">
        <v>46255.0</v>
      </c>
    </row>
    <row r="137" ht="14.25" customHeight="1" outlineLevel="3">
      <c r="A137" s="8" t="s">
        <v>363</v>
      </c>
      <c r="B137" s="9" t="s">
        <v>364</v>
      </c>
      <c r="C137" s="9"/>
      <c r="D137" s="8" t="s">
        <v>123</v>
      </c>
      <c r="E137" s="10">
        <v>46258.0</v>
      </c>
      <c r="F137" s="10">
        <v>46258.0</v>
      </c>
    </row>
    <row r="138" ht="14.25" customHeight="1" outlineLevel="3">
      <c r="A138" s="8" t="s">
        <v>365</v>
      </c>
      <c r="B138" s="9" t="s">
        <v>366</v>
      </c>
      <c r="C138" s="9"/>
      <c r="D138" s="8" t="s">
        <v>123</v>
      </c>
      <c r="E138" s="10">
        <v>46259.0</v>
      </c>
      <c r="F138" s="10">
        <v>46259.0</v>
      </c>
    </row>
    <row r="139" ht="14.25" customHeight="1" outlineLevel="2">
      <c r="A139" s="25" t="s">
        <v>367</v>
      </c>
      <c r="B139" s="26" t="s">
        <v>368</v>
      </c>
      <c r="C139" s="26" t="s">
        <v>369</v>
      </c>
      <c r="D139" s="25" t="s">
        <v>123</v>
      </c>
      <c r="E139" s="27">
        <f>MIN(E140,E141,E142)</f>
        <v>46265</v>
      </c>
      <c r="F139" s="27">
        <f>MAX(F140,F141,F142)</f>
        <v>46272</v>
      </c>
    </row>
    <row r="140" ht="14.25" customHeight="1" outlineLevel="3">
      <c r="A140" s="8" t="s">
        <v>370</v>
      </c>
      <c r="B140" s="9" t="s">
        <v>371</v>
      </c>
      <c r="C140" s="9"/>
      <c r="D140" s="8" t="s">
        <v>123</v>
      </c>
      <c r="E140" s="10">
        <v>46265.0</v>
      </c>
      <c r="F140" s="10">
        <v>46268.0</v>
      </c>
    </row>
    <row r="141" ht="14.25" customHeight="1" outlineLevel="3">
      <c r="A141" s="8" t="s">
        <v>372</v>
      </c>
      <c r="B141" s="9" t="s">
        <v>373</v>
      </c>
      <c r="C141" s="9"/>
      <c r="D141" s="8" t="s">
        <v>123</v>
      </c>
      <c r="E141" s="10">
        <v>46269.0</v>
      </c>
      <c r="F141" s="10">
        <v>46269.0</v>
      </c>
    </row>
    <row r="142" ht="14.25" customHeight="1" outlineLevel="3">
      <c r="A142" s="8" t="s">
        <v>374</v>
      </c>
      <c r="B142" s="9" t="s">
        <v>375</v>
      </c>
      <c r="C142" s="9"/>
      <c r="D142" s="8" t="s">
        <v>123</v>
      </c>
      <c r="E142" s="10">
        <v>46272.0</v>
      </c>
      <c r="F142" s="10">
        <v>46272.0</v>
      </c>
    </row>
    <row r="143" ht="14.25" customHeight="1" outlineLevel="2">
      <c r="A143" s="25" t="s">
        <v>376</v>
      </c>
      <c r="B143" s="26" t="s">
        <v>377</v>
      </c>
      <c r="C143" s="26" t="s">
        <v>378</v>
      </c>
      <c r="D143" s="25" t="s">
        <v>123</v>
      </c>
      <c r="E143" s="27">
        <f>MIN(E144,E145,E146)</f>
        <v>46265</v>
      </c>
      <c r="F143" s="27">
        <f>MAX(F144,F145,F146)</f>
        <v>46272</v>
      </c>
    </row>
    <row r="144" ht="14.25" customHeight="1" outlineLevel="3">
      <c r="A144" s="8" t="s">
        <v>379</v>
      </c>
      <c r="B144" s="9" t="s">
        <v>380</v>
      </c>
      <c r="C144" s="9"/>
      <c r="D144" s="8" t="s">
        <v>123</v>
      </c>
      <c r="E144" s="10">
        <v>46265.0</v>
      </c>
      <c r="F144" s="10">
        <v>46268.0</v>
      </c>
    </row>
    <row r="145" ht="14.25" customHeight="1" outlineLevel="3">
      <c r="A145" s="8" t="s">
        <v>381</v>
      </c>
      <c r="B145" s="9" t="s">
        <v>382</v>
      </c>
      <c r="C145" s="9"/>
      <c r="D145" s="8" t="s">
        <v>123</v>
      </c>
      <c r="E145" s="10">
        <v>46269.0</v>
      </c>
      <c r="F145" s="10">
        <v>46269.0</v>
      </c>
    </row>
    <row r="146" ht="14.25" customHeight="1" outlineLevel="3">
      <c r="A146" s="8" t="s">
        <v>383</v>
      </c>
      <c r="B146" s="9" t="s">
        <v>384</v>
      </c>
      <c r="C146" s="9"/>
      <c r="D146" s="8" t="s">
        <v>123</v>
      </c>
      <c r="E146" s="10">
        <v>46272.0</v>
      </c>
      <c r="F146" s="10">
        <v>46272.0</v>
      </c>
    </row>
    <row r="147" ht="14.25" customHeight="1" outlineLevel="2">
      <c r="A147" s="25" t="s">
        <v>385</v>
      </c>
      <c r="B147" s="26" t="s">
        <v>386</v>
      </c>
      <c r="C147" s="26" t="s">
        <v>387</v>
      </c>
      <c r="D147" s="25" t="s">
        <v>123</v>
      </c>
      <c r="E147" s="27">
        <f>MIN(E148,E149,E150)</f>
        <v>46268</v>
      </c>
      <c r="F147" s="27">
        <f>MAX(F148,F149,F150)</f>
        <v>46273</v>
      </c>
    </row>
    <row r="148" ht="14.25" customHeight="1" outlineLevel="3">
      <c r="A148" s="8" t="s">
        <v>388</v>
      </c>
      <c r="B148" s="9" t="s">
        <v>389</v>
      </c>
      <c r="C148" s="9"/>
      <c r="D148" s="8" t="s">
        <v>123</v>
      </c>
      <c r="E148" s="10">
        <v>46268.0</v>
      </c>
      <c r="F148" s="10">
        <v>46269.0</v>
      </c>
    </row>
    <row r="149" ht="14.25" customHeight="1" outlineLevel="3">
      <c r="A149" s="8" t="s">
        <v>390</v>
      </c>
      <c r="B149" s="9" t="s">
        <v>391</v>
      </c>
      <c r="C149" s="9"/>
      <c r="D149" s="8" t="s">
        <v>123</v>
      </c>
      <c r="E149" s="10">
        <v>46272.0</v>
      </c>
      <c r="F149" s="10">
        <v>46272.0</v>
      </c>
    </row>
    <row r="150" ht="14.25" customHeight="1" outlineLevel="3">
      <c r="A150" s="8" t="s">
        <v>392</v>
      </c>
      <c r="B150" s="9" t="s">
        <v>393</v>
      </c>
      <c r="C150" s="9"/>
      <c r="D150" s="8" t="s">
        <v>123</v>
      </c>
      <c r="E150" s="10">
        <v>46273.0</v>
      </c>
      <c r="F150" s="10">
        <v>46273.0</v>
      </c>
    </row>
    <row r="151" ht="14.25" customHeight="1" outlineLevel="2">
      <c r="A151" s="25" t="s">
        <v>394</v>
      </c>
      <c r="B151" s="26" t="s">
        <v>395</v>
      </c>
      <c r="C151" s="26" t="s">
        <v>396</v>
      </c>
      <c r="D151" s="25" t="s">
        <v>123</v>
      </c>
      <c r="E151" s="27">
        <f>MIN(E152,E153)</f>
        <v>46269</v>
      </c>
      <c r="F151" s="27">
        <f>MAX(F152,F153)</f>
        <v>46273</v>
      </c>
    </row>
    <row r="152" ht="14.25" customHeight="1" outlineLevel="3">
      <c r="A152" s="8" t="s">
        <v>397</v>
      </c>
      <c r="B152" s="9" t="s">
        <v>398</v>
      </c>
      <c r="C152" s="9"/>
      <c r="D152" s="8" t="s">
        <v>123</v>
      </c>
      <c r="E152" s="10">
        <v>46269.0</v>
      </c>
      <c r="F152" s="10">
        <v>46269.0</v>
      </c>
    </row>
    <row r="153" ht="14.25" customHeight="1" outlineLevel="3">
      <c r="A153" s="8" t="s">
        <v>399</v>
      </c>
      <c r="B153" s="9" t="s">
        <v>400</v>
      </c>
      <c r="C153" s="9"/>
      <c r="D153" s="8" t="s">
        <v>123</v>
      </c>
      <c r="E153" s="10">
        <v>46273.0</v>
      </c>
      <c r="F153" s="10">
        <v>46273.0</v>
      </c>
    </row>
    <row r="154" ht="14.25" customHeight="1" outlineLevel="2">
      <c r="A154" s="8" t="s">
        <v>401</v>
      </c>
      <c r="B154" s="9" t="s">
        <v>402</v>
      </c>
      <c r="C154" s="9" t="s">
        <v>403</v>
      </c>
      <c r="D154" s="8" t="s">
        <v>123</v>
      </c>
      <c r="E154" s="10">
        <v>46273.0</v>
      </c>
      <c r="F154" s="10">
        <v>46274.0</v>
      </c>
    </row>
    <row r="155" ht="14.25" customHeight="1" outlineLevel="2">
      <c r="A155" s="8" t="s">
        <v>404</v>
      </c>
      <c r="B155" s="9" t="s">
        <v>405</v>
      </c>
      <c r="C155" s="9" t="s">
        <v>406</v>
      </c>
      <c r="D155" s="8" t="s">
        <v>89</v>
      </c>
      <c r="E155" s="10">
        <v>46274.0</v>
      </c>
      <c r="F155" s="10">
        <v>46274.0</v>
      </c>
    </row>
    <row r="156" ht="14.25" customHeight="1" outlineLevel="1">
      <c r="A156" s="5" t="s">
        <v>407</v>
      </c>
      <c r="B156" s="6" t="s">
        <v>408</v>
      </c>
      <c r="C156" s="6" t="s">
        <v>409</v>
      </c>
      <c r="D156" s="5" t="s">
        <v>89</v>
      </c>
      <c r="E156" s="28">
        <v>46237.0</v>
      </c>
      <c r="F156" s="28">
        <v>46276.0</v>
      </c>
    </row>
    <row r="157" ht="14.25" hidden="1" customHeight="1" outlineLevel="2">
      <c r="A157" s="8" t="s">
        <v>410</v>
      </c>
      <c r="B157" s="9" t="s">
        <v>411</v>
      </c>
      <c r="C157" s="9" t="s">
        <v>412</v>
      </c>
      <c r="D157" s="8" t="s">
        <v>89</v>
      </c>
      <c r="E157" s="29">
        <v>46517.0</v>
      </c>
      <c r="F157" s="29">
        <v>46542.0</v>
      </c>
    </row>
    <row r="158" ht="14.25" hidden="1" customHeight="1" outlineLevel="2">
      <c r="A158" s="8" t="s">
        <v>413</v>
      </c>
      <c r="B158" s="9" t="s">
        <v>414</v>
      </c>
      <c r="C158" s="9" t="s">
        <v>415</v>
      </c>
      <c r="D158" s="8" t="s">
        <v>123</v>
      </c>
      <c r="E158" s="29">
        <v>46531.0</v>
      </c>
      <c r="F158" s="29">
        <v>46541.0</v>
      </c>
    </row>
    <row r="159" ht="14.25" hidden="1" customHeight="1" outlineLevel="2">
      <c r="A159" s="8" t="s">
        <v>416</v>
      </c>
      <c r="B159" s="9" t="s">
        <v>417</v>
      </c>
      <c r="C159" s="9" t="s">
        <v>418</v>
      </c>
      <c r="D159" s="8" t="s">
        <v>123</v>
      </c>
      <c r="E159" s="29">
        <v>46541.0</v>
      </c>
      <c r="F159" s="29">
        <v>46542.0</v>
      </c>
    </row>
    <row r="160" ht="14.25" customHeight="1">
      <c r="A160" s="2" t="s">
        <v>419</v>
      </c>
      <c r="B160" s="3" t="s">
        <v>420</v>
      </c>
      <c r="C160" s="3" t="s">
        <v>421</v>
      </c>
      <c r="D160" s="2" t="s">
        <v>422</v>
      </c>
      <c r="E160" s="4">
        <f>MIN(E161,E168,E174,E178,E179,E182)</f>
        <v>46245</v>
      </c>
      <c r="F160" s="4">
        <f>MAX(F161,F168,F174,F178,F179,F182)</f>
        <v>46290</v>
      </c>
    </row>
    <row r="161" ht="14.25" customHeight="1" outlineLevel="1">
      <c r="A161" s="5" t="s">
        <v>423</v>
      </c>
      <c r="B161" s="6" t="s">
        <v>424</v>
      </c>
      <c r="C161" s="6" t="s">
        <v>425</v>
      </c>
      <c r="D161" s="5" t="s">
        <v>422</v>
      </c>
      <c r="E161" s="7">
        <f>MIN(E162,E163,E164,E165,E166,E167)</f>
        <v>46245</v>
      </c>
      <c r="F161" s="7">
        <f>MAX(F162,F163,F164,F165,F166,F167)</f>
        <v>46255</v>
      </c>
    </row>
    <row r="162" ht="14.25" customHeight="1" outlineLevel="2">
      <c r="A162" s="8" t="s">
        <v>426</v>
      </c>
      <c r="B162" s="9" t="s">
        <v>427</v>
      </c>
      <c r="C162" s="9" t="s">
        <v>428</v>
      </c>
      <c r="D162" s="8" t="s">
        <v>422</v>
      </c>
      <c r="E162" s="10">
        <v>46245.0</v>
      </c>
      <c r="F162" s="10">
        <v>46246.0</v>
      </c>
    </row>
    <row r="163" ht="14.25" customHeight="1" outlineLevel="2">
      <c r="A163" s="8" t="s">
        <v>429</v>
      </c>
      <c r="B163" s="9" t="s">
        <v>430</v>
      </c>
      <c r="C163" s="9" t="s">
        <v>431</v>
      </c>
      <c r="D163" s="8" t="s">
        <v>422</v>
      </c>
      <c r="E163" s="10">
        <v>46246.0</v>
      </c>
      <c r="F163" s="10">
        <v>46251.0</v>
      </c>
    </row>
    <row r="164" ht="14.25" customHeight="1" outlineLevel="2">
      <c r="A164" s="8" t="s">
        <v>432</v>
      </c>
      <c r="B164" s="9" t="s">
        <v>433</v>
      </c>
      <c r="C164" s="9" t="s">
        <v>434</v>
      </c>
      <c r="D164" s="8" t="s">
        <v>422</v>
      </c>
      <c r="E164" s="10">
        <v>46248.0</v>
      </c>
      <c r="F164" s="10">
        <v>46254.0</v>
      </c>
    </row>
    <row r="165" ht="14.25" customHeight="1" outlineLevel="2">
      <c r="A165" s="8" t="s">
        <v>435</v>
      </c>
      <c r="B165" s="9" t="s">
        <v>436</v>
      </c>
      <c r="C165" s="9" t="s">
        <v>437</v>
      </c>
      <c r="D165" s="8" t="s">
        <v>422</v>
      </c>
      <c r="E165" s="10">
        <v>46246.0</v>
      </c>
      <c r="F165" s="10">
        <v>46251.0</v>
      </c>
    </row>
    <row r="166" ht="14.25" customHeight="1" outlineLevel="2">
      <c r="A166" s="8" t="s">
        <v>438</v>
      </c>
      <c r="B166" s="12" t="s">
        <v>439</v>
      </c>
      <c r="C166" s="9" t="s">
        <v>440</v>
      </c>
      <c r="D166" s="8" t="s">
        <v>422</v>
      </c>
      <c r="E166" s="10">
        <v>46252.0</v>
      </c>
      <c r="F166" s="10">
        <v>46255.0</v>
      </c>
    </row>
    <row r="167" ht="14.25" customHeight="1" outlineLevel="2">
      <c r="A167" s="8" t="s">
        <v>441</v>
      </c>
      <c r="B167" s="9" t="s">
        <v>442</v>
      </c>
      <c r="C167" s="9" t="s">
        <v>443</v>
      </c>
      <c r="D167" s="8" t="s">
        <v>422</v>
      </c>
      <c r="E167" s="10">
        <v>46252.0</v>
      </c>
      <c r="F167" s="10">
        <v>46253.0</v>
      </c>
    </row>
    <row r="168" ht="14.25" customHeight="1" outlineLevel="1">
      <c r="A168" s="5" t="s">
        <v>444</v>
      </c>
      <c r="B168" s="6" t="s">
        <v>445</v>
      </c>
      <c r="C168" s="6" t="s">
        <v>446</v>
      </c>
      <c r="D168" s="5" t="s">
        <v>422</v>
      </c>
      <c r="E168" s="28">
        <f>MIN(E169:E173)</f>
        <v>46279</v>
      </c>
      <c r="F168" s="28">
        <f>MAX(F169:F173)</f>
        <v>46286</v>
      </c>
    </row>
    <row r="169" ht="14.25" customHeight="1" outlineLevel="2">
      <c r="A169" s="8" t="s">
        <v>447</v>
      </c>
      <c r="B169" s="9" t="s">
        <v>448</v>
      </c>
      <c r="C169" s="9" t="s">
        <v>449</v>
      </c>
      <c r="D169" s="8" t="s">
        <v>422</v>
      </c>
      <c r="E169" s="10">
        <v>46279.0</v>
      </c>
      <c r="F169" s="10">
        <v>46280.0</v>
      </c>
    </row>
    <row r="170" ht="14.25" customHeight="1" outlineLevel="2">
      <c r="A170" s="8" t="s">
        <v>450</v>
      </c>
      <c r="B170" s="9" t="s">
        <v>451</v>
      </c>
      <c r="C170" s="9" t="s">
        <v>452</v>
      </c>
      <c r="D170" s="8" t="s">
        <v>422</v>
      </c>
      <c r="E170" s="10">
        <v>46279.0</v>
      </c>
      <c r="F170" s="10">
        <v>46280.0</v>
      </c>
    </row>
    <row r="171" ht="14.25" customHeight="1" outlineLevel="2">
      <c r="A171" s="8" t="s">
        <v>453</v>
      </c>
      <c r="B171" s="9" t="s">
        <v>454</v>
      </c>
      <c r="C171" s="9" t="s">
        <v>455</v>
      </c>
      <c r="D171" s="8" t="s">
        <v>422</v>
      </c>
      <c r="E171" s="10">
        <v>46283.0</v>
      </c>
      <c r="F171" s="10">
        <v>46286.0</v>
      </c>
    </row>
    <row r="172" ht="14.25" customHeight="1" outlineLevel="2">
      <c r="A172" s="8" t="s">
        <v>456</v>
      </c>
      <c r="B172" s="12" t="s">
        <v>457</v>
      </c>
      <c r="C172" s="9" t="s">
        <v>458</v>
      </c>
      <c r="D172" s="8" t="s">
        <v>422</v>
      </c>
      <c r="E172" s="10">
        <v>46282.0</v>
      </c>
      <c r="F172" s="10">
        <v>46283.0</v>
      </c>
    </row>
    <row r="173" ht="14.25" customHeight="1" outlineLevel="2">
      <c r="A173" s="8" t="s">
        <v>459</v>
      </c>
      <c r="B173" s="9" t="s">
        <v>460</v>
      </c>
      <c r="C173" s="9" t="s">
        <v>461</v>
      </c>
      <c r="D173" s="8" t="s">
        <v>422</v>
      </c>
      <c r="E173" s="10">
        <v>46286.0</v>
      </c>
      <c r="F173" s="10">
        <v>46286.0</v>
      </c>
    </row>
    <row r="174" ht="14.25" customHeight="1" outlineLevel="1">
      <c r="A174" s="5" t="s">
        <v>462</v>
      </c>
      <c r="B174" s="6" t="s">
        <v>463</v>
      </c>
      <c r="C174" s="6" t="s">
        <v>464</v>
      </c>
      <c r="D174" s="5" t="s">
        <v>422</v>
      </c>
      <c r="E174" s="7">
        <f>MIN(E175,E176,E177)</f>
        <v>46279</v>
      </c>
      <c r="F174" s="7">
        <f>MAX(F175,F176,F177)</f>
        <v>46287</v>
      </c>
    </row>
    <row r="175" ht="14.25" customHeight="1" outlineLevel="2">
      <c r="A175" s="8" t="s">
        <v>465</v>
      </c>
      <c r="B175" s="9" t="s">
        <v>466</v>
      </c>
      <c r="C175" s="9" t="s">
        <v>467</v>
      </c>
      <c r="D175" s="8" t="s">
        <v>422</v>
      </c>
      <c r="E175" s="10">
        <v>46279.0</v>
      </c>
      <c r="F175" s="10">
        <v>46279.0</v>
      </c>
    </row>
    <row r="176" ht="14.25" customHeight="1" outlineLevel="2">
      <c r="A176" s="8" t="s">
        <v>468</v>
      </c>
      <c r="B176" s="12" t="s">
        <v>469</v>
      </c>
      <c r="C176" s="12" t="s">
        <v>470</v>
      </c>
      <c r="D176" s="8" t="s">
        <v>422</v>
      </c>
      <c r="E176" s="10">
        <v>46283.0</v>
      </c>
      <c r="F176" s="10">
        <v>46286.0</v>
      </c>
    </row>
    <row r="177" ht="14.25" customHeight="1" outlineLevel="2">
      <c r="A177" s="8" t="s">
        <v>471</v>
      </c>
      <c r="B177" s="9" t="s">
        <v>472</v>
      </c>
      <c r="C177" s="9" t="s">
        <v>473</v>
      </c>
      <c r="D177" s="8" t="s">
        <v>422</v>
      </c>
      <c r="E177" s="10">
        <v>46287.0</v>
      </c>
      <c r="F177" s="10">
        <v>46287.0</v>
      </c>
    </row>
    <row r="178" ht="14.25" customHeight="1" outlineLevel="1">
      <c r="A178" s="5" t="s">
        <v>474</v>
      </c>
      <c r="B178" s="13" t="s">
        <v>475</v>
      </c>
      <c r="C178" s="6" t="s">
        <v>476</v>
      </c>
      <c r="D178" s="5" t="s">
        <v>422</v>
      </c>
      <c r="E178" s="28">
        <v>46283.0</v>
      </c>
      <c r="F178" s="28">
        <v>46287.0</v>
      </c>
    </row>
    <row r="179" ht="14.25" customHeight="1" outlineLevel="1">
      <c r="A179" s="5" t="s">
        <v>477</v>
      </c>
      <c r="B179" s="6" t="s">
        <v>478</v>
      </c>
      <c r="C179" s="6" t="s">
        <v>479</v>
      </c>
      <c r="D179" s="5" t="s">
        <v>123</v>
      </c>
      <c r="E179" s="7">
        <f>MIN(E180,E181)</f>
        <v>46279</v>
      </c>
      <c r="F179" s="7">
        <f>MAX(F180,F181)</f>
        <v>46290</v>
      </c>
    </row>
    <row r="180" ht="14.25" customHeight="1" outlineLevel="2">
      <c r="A180" s="8" t="s">
        <v>480</v>
      </c>
      <c r="B180" s="9" t="s">
        <v>481</v>
      </c>
      <c r="C180" s="9" t="s">
        <v>482</v>
      </c>
      <c r="D180" s="8" t="s">
        <v>123</v>
      </c>
      <c r="E180" s="10">
        <v>46279.0</v>
      </c>
      <c r="F180" s="10">
        <v>46290.0</v>
      </c>
    </row>
    <row r="181" ht="14.25" customHeight="1" outlineLevel="2">
      <c r="A181" s="8" t="s">
        <v>483</v>
      </c>
      <c r="B181" s="9" t="s">
        <v>484</v>
      </c>
      <c r="C181" s="9" t="s">
        <v>485</v>
      </c>
      <c r="D181" s="8" t="s">
        <v>422</v>
      </c>
      <c r="E181" s="10">
        <v>46287.0</v>
      </c>
      <c r="F181" s="10">
        <v>46288.0</v>
      </c>
    </row>
    <row r="182" ht="14.25" customHeight="1" outlineLevel="1">
      <c r="A182" s="5" t="s">
        <v>486</v>
      </c>
      <c r="B182" s="13" t="s">
        <v>487</v>
      </c>
      <c r="C182" s="6" t="s">
        <v>488</v>
      </c>
      <c r="D182" s="5" t="s">
        <v>55</v>
      </c>
      <c r="E182" s="7">
        <f>MIN(E183,E184,E185)</f>
        <v>46286</v>
      </c>
      <c r="F182" s="7">
        <f>MAX(F183,F184,F185)</f>
        <v>46290</v>
      </c>
    </row>
    <row r="183" ht="14.25" customHeight="1" outlineLevel="2">
      <c r="A183" s="8" t="s">
        <v>489</v>
      </c>
      <c r="B183" s="9" t="s">
        <v>490</v>
      </c>
      <c r="C183" s="9" t="s">
        <v>491</v>
      </c>
      <c r="D183" s="8" t="s">
        <v>55</v>
      </c>
      <c r="E183" s="10">
        <v>46286.0</v>
      </c>
      <c r="F183" s="10">
        <v>46286.0</v>
      </c>
    </row>
    <row r="184" ht="14.25" customHeight="1" outlineLevel="2">
      <c r="A184" s="8" t="s">
        <v>492</v>
      </c>
      <c r="B184" s="9" t="s">
        <v>493</v>
      </c>
      <c r="C184" s="9" t="s">
        <v>494</v>
      </c>
      <c r="D184" s="8" t="s">
        <v>55</v>
      </c>
      <c r="E184" s="10">
        <v>46289.0</v>
      </c>
      <c r="F184" s="10">
        <v>46290.0</v>
      </c>
    </row>
    <row r="185" ht="14.25" customHeight="1" outlineLevel="2">
      <c r="A185" s="8" t="s">
        <v>495</v>
      </c>
      <c r="B185" s="9" t="s">
        <v>496</v>
      </c>
      <c r="C185" s="9" t="s">
        <v>497</v>
      </c>
      <c r="D185" s="8" t="s">
        <v>9</v>
      </c>
      <c r="E185" s="10">
        <v>46290.0</v>
      </c>
      <c r="F185" s="10">
        <v>46290.0</v>
      </c>
    </row>
    <row r="186" ht="14.25" customHeight="1">
      <c r="A186" s="2" t="s">
        <v>498</v>
      </c>
      <c r="B186" s="15" t="s">
        <v>499</v>
      </c>
      <c r="C186" s="3" t="s">
        <v>500</v>
      </c>
      <c r="D186" s="2" t="s">
        <v>113</v>
      </c>
      <c r="E186" s="4">
        <f>MIN(E187,E190,E194,E196)</f>
        <v>46283</v>
      </c>
      <c r="F186" s="4">
        <f>MAX(F187,F190,F194,F196)</f>
        <v>46323</v>
      </c>
    </row>
    <row r="187" ht="14.25" customHeight="1" outlineLevel="1">
      <c r="A187" s="5" t="s">
        <v>501</v>
      </c>
      <c r="B187" s="6" t="s">
        <v>502</v>
      </c>
      <c r="C187" s="6" t="s">
        <v>503</v>
      </c>
      <c r="D187" s="5" t="s">
        <v>55</v>
      </c>
      <c r="E187" s="7">
        <f>MIN(E188,E189)</f>
        <v>46283</v>
      </c>
      <c r="F187" s="7">
        <f>MAX(F188,F189)</f>
        <v>46287</v>
      </c>
    </row>
    <row r="188" ht="14.25" customHeight="1" outlineLevel="2">
      <c r="A188" s="8" t="s">
        <v>504</v>
      </c>
      <c r="B188" s="12" t="s">
        <v>505</v>
      </c>
      <c r="C188" s="9" t="s">
        <v>506</v>
      </c>
      <c r="D188" s="8" t="s">
        <v>55</v>
      </c>
      <c r="E188" s="10">
        <v>46283.0</v>
      </c>
      <c r="F188" s="10">
        <v>46286.0</v>
      </c>
    </row>
    <row r="189" ht="14.25" customHeight="1" outlineLevel="2">
      <c r="A189" s="8" t="s">
        <v>507</v>
      </c>
      <c r="B189" s="9" t="s">
        <v>508</v>
      </c>
      <c r="C189" s="9" t="s">
        <v>509</v>
      </c>
      <c r="D189" s="8" t="s">
        <v>113</v>
      </c>
      <c r="E189" s="10">
        <v>46286.0</v>
      </c>
      <c r="F189" s="10">
        <v>46287.0</v>
      </c>
    </row>
    <row r="190" ht="14.25" customHeight="1" outlineLevel="1">
      <c r="A190" s="5" t="s">
        <v>510</v>
      </c>
      <c r="B190" s="6" t="s">
        <v>511</v>
      </c>
      <c r="C190" s="6" t="s">
        <v>512</v>
      </c>
      <c r="D190" s="5" t="s">
        <v>55</v>
      </c>
      <c r="E190" s="7">
        <f>MIN(E191,E192,E193)</f>
        <v>46293</v>
      </c>
      <c r="F190" s="7">
        <f>MAX(F191,F192,F193)</f>
        <v>46294</v>
      </c>
    </row>
    <row r="191" ht="14.25" customHeight="1" outlineLevel="2">
      <c r="A191" s="8" t="s">
        <v>513</v>
      </c>
      <c r="B191" s="9" t="s">
        <v>514</v>
      </c>
      <c r="C191" s="9" t="s">
        <v>515</v>
      </c>
      <c r="D191" s="8" t="s">
        <v>55</v>
      </c>
      <c r="E191" s="10">
        <v>46293.0</v>
      </c>
      <c r="F191" s="10">
        <v>46293.0</v>
      </c>
    </row>
    <row r="192" ht="14.25" customHeight="1" outlineLevel="2">
      <c r="A192" s="8" t="s">
        <v>516</v>
      </c>
      <c r="B192" s="12" t="s">
        <v>517</v>
      </c>
      <c r="C192" s="9" t="s">
        <v>518</v>
      </c>
      <c r="D192" s="8" t="s">
        <v>55</v>
      </c>
      <c r="E192" s="10">
        <v>46294.0</v>
      </c>
      <c r="F192" s="10">
        <v>46294.0</v>
      </c>
    </row>
    <row r="193" ht="14.25" customHeight="1" outlineLevel="2">
      <c r="A193" s="8" t="s">
        <v>519</v>
      </c>
      <c r="B193" s="9" t="s">
        <v>520</v>
      </c>
      <c r="C193" s="9" t="s">
        <v>521</v>
      </c>
      <c r="D193" s="8" t="s">
        <v>113</v>
      </c>
      <c r="E193" s="10">
        <v>46294.0</v>
      </c>
      <c r="F193" s="10">
        <v>46294.0</v>
      </c>
    </row>
    <row r="194" ht="14.25" customHeight="1" outlineLevel="1">
      <c r="A194" s="5" t="s">
        <v>522</v>
      </c>
      <c r="B194" s="6" t="s">
        <v>523</v>
      </c>
      <c r="C194" s="6" t="s">
        <v>524</v>
      </c>
      <c r="D194" s="5" t="s">
        <v>113</v>
      </c>
      <c r="E194" s="7">
        <f>MIN(E195)</f>
        <v>46296</v>
      </c>
      <c r="F194" s="7">
        <f>MAX(F195)</f>
        <v>46296</v>
      </c>
    </row>
    <row r="195" ht="14.25" customHeight="1" outlineLevel="2">
      <c r="A195" s="8" t="s">
        <v>525</v>
      </c>
      <c r="B195" s="9" t="s">
        <v>526</v>
      </c>
      <c r="C195" s="12" t="s">
        <v>527</v>
      </c>
      <c r="D195" s="8" t="s">
        <v>113</v>
      </c>
      <c r="E195" s="10">
        <v>46296.0</v>
      </c>
      <c r="F195" s="10">
        <v>46296.0</v>
      </c>
    </row>
    <row r="196" ht="14.25" customHeight="1" outlineLevel="1">
      <c r="A196" s="5" t="s">
        <v>528</v>
      </c>
      <c r="B196" s="6" t="s">
        <v>529</v>
      </c>
      <c r="C196" s="6" t="s">
        <v>530</v>
      </c>
      <c r="D196" s="5" t="s">
        <v>123</v>
      </c>
      <c r="E196" s="7">
        <f>MIN(E197,E198,E199)</f>
        <v>46297</v>
      </c>
      <c r="F196" s="7">
        <f>MAX(F197,F198,F199)</f>
        <v>46323</v>
      </c>
    </row>
    <row r="197" ht="14.25" customHeight="1" outlineLevel="2">
      <c r="A197" s="8" t="s">
        <v>531</v>
      </c>
      <c r="B197" s="9" t="s">
        <v>532</v>
      </c>
      <c r="C197" s="9" t="s">
        <v>533</v>
      </c>
      <c r="D197" s="8" t="s">
        <v>123</v>
      </c>
      <c r="E197" s="10">
        <v>46297.0</v>
      </c>
      <c r="F197" s="10">
        <v>46300.0</v>
      </c>
    </row>
    <row r="198" ht="14.25" customHeight="1" outlineLevel="2">
      <c r="A198" s="8" t="s">
        <v>534</v>
      </c>
      <c r="B198" s="9" t="s">
        <v>535</v>
      </c>
      <c r="C198" s="9" t="s">
        <v>536</v>
      </c>
      <c r="D198" s="8" t="s">
        <v>123</v>
      </c>
      <c r="E198" s="10">
        <v>46301.0</v>
      </c>
      <c r="F198" s="10">
        <v>46321.0</v>
      </c>
    </row>
    <row r="199" ht="14.25" customHeight="1" outlineLevel="2">
      <c r="A199" s="8" t="s">
        <v>537</v>
      </c>
      <c r="B199" s="12" t="s">
        <v>538</v>
      </c>
      <c r="C199" s="12" t="s">
        <v>539</v>
      </c>
      <c r="D199" s="8" t="s">
        <v>9</v>
      </c>
      <c r="E199" s="10">
        <v>46322.0</v>
      </c>
      <c r="F199" s="10">
        <v>46323.0</v>
      </c>
    </row>
    <row r="200" ht="14.25" customHeight="1">
      <c r="A200" s="31"/>
      <c r="B200" s="31" t="s">
        <v>540</v>
      </c>
      <c r="C200" s="31"/>
      <c r="D200" s="31"/>
      <c r="E200" s="32">
        <f>MIN(E2,E17,E30,E58,E160,E186)</f>
        <v>46195</v>
      </c>
      <c r="F200" s="32">
        <f>MAX(F2,F17,F30,F58,F160,F186)</f>
        <v>46325</v>
      </c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$A$1:$F$199"/>
  <printOptions/>
  <pageMargins bottom="1.0" footer="0.0" header="0.0" left="0.75" right="0.75" top="1.0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 outlineLevelRow="3"/>
  <cols>
    <col customWidth="1" min="1" max="1" width="9.0"/>
    <col customWidth="1" min="2" max="2" width="56.0"/>
    <col customWidth="1" min="3" max="4" width="9.0"/>
    <col customWidth="1" min="5" max="5" width="8.0"/>
    <col customWidth="1" min="6" max="26" width="4.14"/>
  </cols>
  <sheetData>
    <row r="1" ht="14.25" customHeight="1">
      <c r="A1" s="16" t="s">
        <v>71</v>
      </c>
    </row>
    <row r="2" ht="14.25" customHeight="1">
      <c r="A2" s="17" t="s">
        <v>78</v>
      </c>
    </row>
    <row r="3" ht="14.25" customHeight="1"/>
    <row r="4" ht="43.5" customHeight="1">
      <c r="A4" s="1" t="s">
        <v>0</v>
      </c>
      <c r="B4" s="1" t="s">
        <v>85</v>
      </c>
      <c r="C4" s="1" t="s">
        <v>4</v>
      </c>
      <c r="D4" s="1" t="s">
        <v>5</v>
      </c>
      <c r="E4" s="1" t="s">
        <v>3</v>
      </c>
      <c r="F4" s="19">
        <v>46461.0</v>
      </c>
      <c r="G4" s="19">
        <v>46468.0</v>
      </c>
      <c r="H4" s="19">
        <v>46475.0</v>
      </c>
      <c r="I4" s="19">
        <v>46482.0</v>
      </c>
      <c r="J4" s="19">
        <v>46489.0</v>
      </c>
      <c r="K4" s="19">
        <v>46496.0</v>
      </c>
      <c r="L4" s="19">
        <v>46503.0</v>
      </c>
      <c r="M4" s="19">
        <v>46510.0</v>
      </c>
      <c r="N4" s="19">
        <v>46517.0</v>
      </c>
      <c r="O4" s="19">
        <v>46524.0</v>
      </c>
      <c r="P4" s="19">
        <v>46531.0</v>
      </c>
      <c r="Q4" s="19">
        <v>46538.0</v>
      </c>
      <c r="R4" s="19">
        <v>46545.0</v>
      </c>
      <c r="S4" s="19">
        <v>46552.0</v>
      </c>
      <c r="T4" s="19">
        <v>46559.0</v>
      </c>
      <c r="U4" s="19">
        <v>46566.0</v>
      </c>
      <c r="V4" s="19">
        <v>46573.0</v>
      </c>
      <c r="W4" s="19">
        <v>46580.0</v>
      </c>
      <c r="X4" s="19">
        <v>46587.0</v>
      </c>
      <c r="Y4" s="19">
        <v>46594.0</v>
      </c>
      <c r="Z4" s="19">
        <v>46601.0</v>
      </c>
    </row>
    <row r="5" ht="14.25" customHeight="1">
      <c r="A5" s="20" t="str">
        <f>WBS!A2</f>
        <v>1</v>
      </c>
      <c r="B5" s="20" t="str">
        <f>WBS!B2</f>
        <v>Quản lý dự án</v>
      </c>
      <c r="C5" s="21">
        <f>WBS!E2</f>
        <v>46195</v>
      </c>
      <c r="D5" s="21">
        <f>WBS!F2</f>
        <v>46325</v>
      </c>
      <c r="E5" s="20" t="str">
        <f>WBS!D2</f>
        <v>PM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 outlineLevel="1">
      <c r="A6" s="20" t="str">
        <f>WBS!A3</f>
        <v>1.1</v>
      </c>
      <c r="B6" s="20" t="str">
        <f>WBS!B3</f>
        <v>   Khởi động dự án</v>
      </c>
      <c r="C6" s="21">
        <f>WBS!E3</f>
        <v>46195</v>
      </c>
      <c r="D6" s="21">
        <f>WBS!F3</f>
        <v>46198</v>
      </c>
      <c r="E6" s="20" t="str">
        <f>WBS!D3</f>
        <v>PM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 outlineLevel="2">
      <c r="A7" s="23" t="str">
        <f>WBS!A4</f>
        <v>1.1.1</v>
      </c>
      <c r="B7" s="23" t="str">
        <f>WBS!B4</f>
        <v>      Lập Điều lệ dự án (Project Charter)</v>
      </c>
      <c r="C7" s="24">
        <f>WBS!E4</f>
        <v>46195</v>
      </c>
      <c r="D7" s="24">
        <f>WBS!F4</f>
        <v>46196</v>
      </c>
      <c r="E7" s="23" t="str">
        <f>WBS!D4</f>
        <v>PM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 outlineLevel="2">
      <c r="A8" s="23" t="str">
        <f>WBS!A5</f>
        <v>1.1.2</v>
      </c>
      <c r="B8" s="23" t="str">
        <f>WBS!B5</f>
        <v>      Lập ma trận RACI</v>
      </c>
      <c r="C8" s="24">
        <f>WBS!E5</f>
        <v>46196</v>
      </c>
      <c r="D8" s="24">
        <f>WBS!F5</f>
        <v>46196</v>
      </c>
      <c r="E8" s="23" t="str">
        <f>WBS!D5</f>
        <v>PM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 outlineLevel="2">
      <c r="A9" s="23" t="str">
        <f>WBS!A6</f>
        <v>1.1.3</v>
      </c>
      <c r="B9" s="23" t="str">
        <f>WBS!B6</f>
        <v>      Tổ chức họp khởi động (Kick-off)</v>
      </c>
      <c r="C9" s="24">
        <f>WBS!E6</f>
        <v>46198</v>
      </c>
      <c r="D9" s="24">
        <f>WBS!F6</f>
        <v>46198</v>
      </c>
      <c r="E9" s="23" t="str">
        <f>WBS!D6</f>
        <v>PM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 outlineLevel="1">
      <c r="A10" s="20" t="str">
        <f>WBS!A7</f>
        <v>1.2</v>
      </c>
      <c r="B10" s="20" t="str">
        <f>WBS!B7</f>
        <v>   Lập kế hoạch dự án</v>
      </c>
      <c r="C10" s="21">
        <f>WBS!E7</f>
        <v>46195</v>
      </c>
      <c r="D10" s="21">
        <f>WBS!F7</f>
        <v>46209</v>
      </c>
      <c r="E10" s="20" t="str">
        <f>WBS!D7</f>
        <v>PM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 outlineLevel="2">
      <c r="A11" s="23" t="str">
        <f>WBS!A8</f>
        <v>1.2.1</v>
      </c>
      <c r="B11" s="23" t="str">
        <f>WBS!B8</f>
        <v>      Lập WBS,  Master Plan</v>
      </c>
      <c r="C11" s="24">
        <f>WBS!E8</f>
        <v>46195</v>
      </c>
      <c r="D11" s="24">
        <f>WBS!F8</f>
        <v>46203</v>
      </c>
      <c r="E11" s="23" t="str">
        <f>WBS!D8</f>
        <v>PM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 outlineLevel="2">
      <c r="A12" s="23" t="str">
        <f>WBS!A9</f>
        <v>1.2.2</v>
      </c>
      <c r="B12" s="23" t="str">
        <f>WBS!B9</f>
        <v>      Lập đường cơ sở tiến độ &amp; chi phí</v>
      </c>
      <c r="C12" s="24">
        <f>WBS!E9</f>
        <v>46199</v>
      </c>
      <c r="D12" s="24">
        <f>WBS!F9</f>
        <v>46209</v>
      </c>
      <c r="E12" s="23" t="str">
        <f>WBS!D9</f>
        <v>PM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 outlineLevel="2">
      <c r="A13" s="23" t="str">
        <f>WBS!A10</f>
        <v>1.2.3</v>
      </c>
      <c r="B13" s="23" t="str">
        <f>WBS!B10</f>
        <v>      Kế hoạch chất lượng &amp; quản lý thay đổi</v>
      </c>
      <c r="C13" s="24">
        <f>WBS!E10</f>
        <v>46204</v>
      </c>
      <c r="D13" s="24">
        <f>WBS!F10</f>
        <v>46209</v>
      </c>
      <c r="E13" s="23" t="str">
        <f>WBS!D10</f>
        <v>PM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 outlineLevel="1">
      <c r="A14" s="20" t="str">
        <f>WBS!A11</f>
        <v>1.3</v>
      </c>
      <c r="B14" s="20" t="str">
        <f>WBS!B11</f>
        <v>   Giám sát &amp; kiểm soát (LOE)</v>
      </c>
      <c r="C14" s="21">
        <f>WBS!E11</f>
        <v>46322</v>
      </c>
      <c r="D14" s="21">
        <f>WBS!F11</f>
        <v>46325</v>
      </c>
      <c r="E14" s="20" t="str">
        <f>WBS!D11</f>
        <v>PM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 outlineLevel="2">
      <c r="A15" s="23" t="str">
        <f>WBS!A12</f>
        <v>1.3.1</v>
      </c>
      <c r="B15" s="23" t="str">
        <f>WBS!B12</f>
        <v>      Báo cáo tiến độ tuần &amp; họp tiến độ</v>
      </c>
      <c r="C15" s="24">
        <f>WBS!E12</f>
        <v>46322</v>
      </c>
      <c r="D15" s="24">
        <f>WBS!F12</f>
        <v>46325</v>
      </c>
      <c r="E15" s="23" t="str">
        <f>WBS!D12</f>
        <v>PM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 outlineLevel="2">
      <c r="A16" s="23" t="str">
        <f>WBS!A13</f>
        <v>1.3.2</v>
      </c>
      <c r="B16" s="23" t="str">
        <f>WBS!B13</f>
        <v>      Quản lý rủi ro &amp; vấn đề</v>
      </c>
      <c r="C16" s="24">
        <f>WBS!E13</f>
        <v>46324</v>
      </c>
      <c r="D16" s="24">
        <f>WBS!F13</f>
        <v>46325</v>
      </c>
      <c r="E16" s="23" t="str">
        <f>WBS!D13</f>
        <v>PM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 outlineLevel="1">
      <c r="A17" s="20" t="str">
        <f>WBS!A14</f>
        <v>1.4</v>
      </c>
      <c r="B17" s="20" t="str">
        <f>WBS!B14</f>
        <v>   Kết thúc dự án</v>
      </c>
      <c r="C17" s="21">
        <f>WBS!E14</f>
        <v>46322</v>
      </c>
      <c r="D17" s="21">
        <f>WBS!F14</f>
        <v>46325</v>
      </c>
      <c r="E17" s="20" t="str">
        <f>WBS!D14</f>
        <v>PM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 outlineLevel="2">
      <c r="A18" s="23" t="str">
        <f>WBS!A15</f>
        <v>1.4.1</v>
      </c>
      <c r="B18" s="23" t="str">
        <f>WBS!B15</f>
        <v>      Nghiệm thu tổng thể &amp; bàn giao hồ sơ</v>
      </c>
      <c r="C18" s="24">
        <f>WBS!E15</f>
        <v>46322</v>
      </c>
      <c r="D18" s="24">
        <f>WBS!F15</f>
        <v>46325</v>
      </c>
      <c r="E18" s="23" t="str">
        <f>WBS!D15</f>
        <v>PM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 outlineLevel="2">
      <c r="A19" s="23" t="str">
        <f>WBS!A16</f>
        <v>1.4.2</v>
      </c>
      <c r="B19" s="23" t="str">
        <f>WBS!B16</f>
        <v>      Bài học kinh nghiệm &amp; đóng hồ sơ dự án</v>
      </c>
      <c r="C19" s="24">
        <f>WBS!E16</f>
        <v>46324</v>
      </c>
      <c r="D19" s="24">
        <f>WBS!F16</f>
        <v>46325</v>
      </c>
      <c r="E19" s="23" t="str">
        <f>WBS!D16</f>
        <v>PM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0" t="str">
        <f>WBS!A17</f>
        <v>2</v>
      </c>
      <c r="B20" s="20" t="str">
        <f>WBS!B17</f>
        <v>Phân tích hệ thống (System Analysis)</v>
      </c>
      <c r="C20" s="21">
        <f>WBS!E17</f>
        <v>46195</v>
      </c>
      <c r="D20" s="21">
        <f>WBS!F17</f>
        <v>46213</v>
      </c>
      <c r="E20" s="20" t="str">
        <f>WBS!D17</f>
        <v>BA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 outlineLevel="1">
      <c r="A21" s="20" t="str">
        <f>WBS!A18</f>
        <v>2.1</v>
      </c>
      <c r="B21" s="20" t="str">
        <f>WBS!B18</f>
        <v>   Khảo sát hiện trạng (AS-IS)</v>
      </c>
      <c r="C21" s="21">
        <f>WBS!E18</f>
        <v>46195</v>
      </c>
      <c r="D21" s="21">
        <f>WBS!F18</f>
        <v>46204</v>
      </c>
      <c r="E21" s="20" t="str">
        <f>WBS!D18</f>
        <v>BA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 outlineLevel="2">
      <c r="A22" s="23" t="str">
        <f>WBS!A19</f>
        <v>2.1.1</v>
      </c>
      <c r="B22" s="23" t="str">
        <f>WBS!B19</f>
        <v>      Họp phân tích yêu cầu với nghiệp vụ và các bên liên quan</v>
      </c>
      <c r="C22" s="24">
        <f>WBS!E19</f>
        <v>46195</v>
      </c>
      <c r="D22" s="24">
        <f>WBS!F19</f>
        <v>46198</v>
      </c>
      <c r="E22" s="23" t="str">
        <f>WBS!D19</f>
        <v>BA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 outlineLevel="2">
      <c r="A23" s="23" t="str">
        <f>WBS!A20</f>
        <v>2.1.2</v>
      </c>
      <c r="B23" s="23" t="str">
        <f>WBS!B20</f>
        <v>      Khảo sát hệ thống</v>
      </c>
      <c r="C23" s="24">
        <f>WBS!E20</f>
        <v>46196</v>
      </c>
      <c r="D23" s="24">
        <f>WBS!F20</f>
        <v>46199</v>
      </c>
      <c r="E23" s="23" t="str">
        <f>WBS!D20</f>
        <v>BA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 outlineLevel="2">
      <c r="A24" s="23" t="str">
        <f>WBS!#REF!</f>
        <v>#ERROR!</v>
      </c>
      <c r="B24" s="23" t="str">
        <f>WBS!#REF!</f>
        <v>#ERROR!</v>
      </c>
      <c r="C24" s="24" t="str">
        <f>WBS!#REF!</f>
        <v>#ERROR!</v>
      </c>
      <c r="D24" s="24" t="str">
        <f>WBS!#REF!</f>
        <v>#ERROR!</v>
      </c>
      <c r="E24" s="23" t="str">
        <f>WBS!#REF!</f>
        <v>#ERROR!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 outlineLevel="2">
      <c r="A25" s="23" t="str">
        <f>WBS!A21</f>
        <v>2.1.3</v>
      </c>
      <c r="B25" s="23" t="str">
        <f>WBS!B21</f>
        <v>      Lập báo cáo hiện trạng (AS-IS)</v>
      </c>
      <c r="C25" s="24">
        <f>WBS!E21</f>
        <v>46203</v>
      </c>
      <c r="D25" s="24">
        <f>WBS!F21</f>
        <v>46204</v>
      </c>
      <c r="E25" s="23" t="str">
        <f>WBS!D21</f>
        <v>BA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 outlineLevel="1">
      <c r="A26" s="20" t="str">
        <f>WBS!A22</f>
        <v>2.2</v>
      </c>
      <c r="B26" s="20" t="str">
        <f>WBS!B22</f>
        <v>   Đặc tả yêu cầu chức năng (SRS)</v>
      </c>
      <c r="C26" s="21">
        <f>WBS!E22</f>
        <v>46199</v>
      </c>
      <c r="D26" s="21">
        <f>WBS!F22</f>
        <v>46213</v>
      </c>
      <c r="E26" s="20" t="str">
        <f>WBS!D22</f>
        <v>BA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 outlineLevel="2">
      <c r="A27" s="23" t="str">
        <f>WBS!A23</f>
        <v>2.2.1</v>
      </c>
      <c r="B27" s="23" t="str">
        <f>Gantt</f>
        <v>#NAME?</v>
      </c>
      <c r="C27" s="24">
        <f>WBS!E23</f>
        <v>46199</v>
      </c>
      <c r="D27" s="24">
        <f>WBS!F23</f>
        <v>46206</v>
      </c>
      <c r="E27" s="23" t="str">
        <f>WBS!D23</f>
        <v>BA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 outlineLevel="2">
      <c r="A28" s="23" t="str">
        <f>WBS!A24</f>
        <v>2.2.2</v>
      </c>
      <c r="B28" s="23" t="str">
        <f>WBS!B24</f>
        <v>      SRS – Quản lý đơn hàng (giỏ hàng, đặt hàng, thanh toán, hủy đơn)</v>
      </c>
      <c r="C28" s="24">
        <f>WBS!E24</f>
        <v>46203</v>
      </c>
      <c r="D28" s="24">
        <f>WBS!F24</f>
        <v>46211</v>
      </c>
      <c r="E28" s="23" t="str">
        <f>WBS!D24</f>
        <v>BA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 outlineLevel="2">
      <c r="A29" s="23" t="str">
        <f>WBS!A25</f>
        <v>2.2.3</v>
      </c>
      <c r="B29" s="23" t="str">
        <f>WBS!B25</f>
        <v>      SRS – Quản lý khách hàng (đăng ký, đăng nhập, hồ sơ, dữ liệu cá nhân)</v>
      </c>
      <c r="C29" s="24">
        <f>WBS!E25</f>
        <v>46199</v>
      </c>
      <c r="D29" s="24">
        <f>WBS!F25</f>
        <v>46206</v>
      </c>
      <c r="E29" s="23" t="str">
        <f>WBS!D25</f>
        <v>BA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 outlineLevel="2">
      <c r="A30" s="23" t="str">
        <f t="shared" ref="A30:E30" si="1">#REF!</f>
        <v>#REF!</v>
      </c>
      <c r="B30" s="23" t="str">
        <f t="shared" si="1"/>
        <v>#REF!</v>
      </c>
      <c r="C30" s="24" t="str">
        <f t="shared" si="1"/>
        <v>#REF!</v>
      </c>
      <c r="D30" s="24" t="str">
        <f t="shared" si="1"/>
        <v>#REF!</v>
      </c>
      <c r="E30" s="23" t="str">
        <f t="shared" si="1"/>
        <v>#REF!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 outlineLevel="2">
      <c r="A31" s="23" t="str">
        <f>WBS!A26</f>
        <v>2.2.5</v>
      </c>
      <c r="B31" s="23" t="str">
        <f>WBS!B26</f>
        <v>      SRS – Tích hợp hệ thống (Main System, chi nhánh, vận chuyển)</v>
      </c>
      <c r="C31" s="24">
        <f>WBS!E26</f>
        <v>46205</v>
      </c>
      <c r="D31" s="24">
        <f>WBS!F26</f>
        <v>46212</v>
      </c>
      <c r="E31" s="23" t="str">
        <f>WBS!D26</f>
        <v>BA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 outlineLevel="1">
      <c r="A32" s="23" t="str">
        <f>WBS!A27</f>
        <v>2.3</v>
      </c>
      <c r="B32" s="23" t="str">
        <f>WBS!B27</f>
        <v>   Đặc tả yêu cầu phi chức năng (24/7, ≤ 2 giây, bảo mật, dữ liệu cá nhân)</v>
      </c>
      <c r="C32" s="24">
        <f>WBS!E27</f>
        <v>46205</v>
      </c>
      <c r="D32" s="24">
        <f>WBS!F27</f>
        <v>46210</v>
      </c>
      <c r="E32" s="23" t="str">
        <f>WBS!D27</f>
        <v>SA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 outlineLevel="1">
      <c r="A33" s="23" t="str">
        <f>WBS!A28</f>
        <v>2.4</v>
      </c>
      <c r="B33" s="23" t="str">
        <f>WBS!B28</f>
        <v>   Thiết kế quy trình nghiệp vụ</v>
      </c>
      <c r="C33" s="24">
        <f>WBS!E28</f>
        <v>46205</v>
      </c>
      <c r="D33" s="24">
        <f>WBS!F28</f>
        <v>46212</v>
      </c>
      <c r="E33" s="23" t="str">
        <f>WBS!D28</f>
        <v>BA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 outlineLevel="1">
      <c r="A34" s="23" t="str">
        <f>WBS!#REF!</f>
        <v>#ERROR!</v>
      </c>
      <c r="B34" s="23" t="str">
        <f>WBS!#REF!</f>
        <v>#ERROR!</v>
      </c>
      <c r="C34" s="24" t="str">
        <f>WBS!#REF!</f>
        <v>#ERROR!</v>
      </c>
      <c r="D34" s="24" t="str">
        <f>WBS!#REF!</f>
        <v>#ERROR!</v>
      </c>
      <c r="E34" s="23" t="str">
        <f>WBS!#REF!</f>
        <v>#ERROR!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 outlineLevel="1">
      <c r="A35" s="30">
        <f>WBS!A29</f>
        <v>46144</v>
      </c>
      <c r="B35" s="23" t="str">
        <f>WBS!B29</f>
        <v>   Rà soát &amp; phê duyệt SRS</v>
      </c>
      <c r="C35" s="24">
        <f>WBS!E29</f>
        <v>46213</v>
      </c>
      <c r="D35" s="24">
        <f>WBS!F29</f>
        <v>46213</v>
      </c>
      <c r="E35" s="23" t="str">
        <f>WBS!D29</f>
        <v>PM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0" t="str">
        <f>WBS!A30</f>
        <v>3</v>
      </c>
      <c r="B36" s="20" t="str">
        <f>WBS!B30</f>
        <v>Thiết kế hệ thống</v>
      </c>
      <c r="C36" s="21">
        <f>WBS!E30</f>
        <v>46206</v>
      </c>
      <c r="D36" s="21">
        <f>WBS!F30</f>
        <v>46234</v>
      </c>
      <c r="E36" s="20" t="str">
        <f>WBS!D30</f>
        <v>SA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 outlineLevel="1">
      <c r="A37" s="20" t="str">
        <f>WBS!A31</f>
        <v>3.1</v>
      </c>
      <c r="B37" s="20" t="str">
        <f>WBS!B31</f>
        <v>   Thiết kế kiến trúc &amp; hạ tầng (HLD)</v>
      </c>
      <c r="C37" s="21">
        <f>WBS!E31</f>
        <v>46210</v>
      </c>
      <c r="D37" s="21">
        <f>WBS!F31</f>
        <v>46219</v>
      </c>
      <c r="E37" s="20" t="str">
        <f>WBS!D31</f>
        <v>SA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 outlineLevel="2">
      <c r="A38" s="23" t="str">
        <f>WBS!A32</f>
        <v>3.1.1</v>
      </c>
      <c r="B38" s="23" t="str">
        <f>WBS!B32</f>
        <v>      Thiết kế kiến trúc ứng dụng &amp; phương án sẵn sàng 24/7</v>
      </c>
      <c r="C38" s="24">
        <f>WBS!E32</f>
        <v>46210</v>
      </c>
      <c r="D38" s="24">
        <f>WBS!F32</f>
        <v>46213</v>
      </c>
      <c r="E38" s="23" t="str">
        <f>WBS!D32</f>
        <v>SA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 outlineLevel="2">
      <c r="A39" s="23" t="str">
        <f>WBS!A33</f>
        <v>3.1.2</v>
      </c>
      <c r="B39" s="23" t="str">
        <f>WBS!B33</f>
        <v>      Tính toán quy mô hạ tầng &amp; phương án mở rộng</v>
      </c>
      <c r="C39" s="24">
        <f>WBS!E33</f>
        <v>46217</v>
      </c>
      <c r="D39" s="24">
        <f>WBS!F33</f>
        <v>46219</v>
      </c>
      <c r="E39" s="23" t="str">
        <f>WBS!D33</f>
        <v>SA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 outlineLevel="2">
      <c r="A40" s="23" t="str">
        <f>WBS!A34</f>
        <v>3.1.3</v>
      </c>
      <c r="B40" s="23" t="str">
        <f>WBS!B34</f>
        <v>      Thiết kế an toàn thông tin &amp; bảo vệ dữ liệu cá nhân</v>
      </c>
      <c r="C40" s="24">
        <f>WBS!E34</f>
        <v>46213</v>
      </c>
      <c r="D40" s="24">
        <f>WBS!F34</f>
        <v>46218</v>
      </c>
      <c r="E40" s="23" t="str">
        <f>WBS!D34</f>
        <v>SA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 outlineLevel="2">
      <c r="A41" s="23" t="str">
        <f>WBS!A35</f>
        <v>3.1.4</v>
      </c>
      <c r="B41" s="23" t="str">
        <f>WBS!B35</f>
        <v>      Thiết kế giám sát, sao lưu &amp; phục hồi</v>
      </c>
      <c r="C41" s="24">
        <f>WBS!E35</f>
        <v>46217</v>
      </c>
      <c r="D41" s="24">
        <f>WBS!F35</f>
        <v>46219</v>
      </c>
      <c r="E41" s="23" t="str">
        <f>WBS!D35</f>
        <v>OPS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 outlineLevel="1">
      <c r="A42" s="20" t="str">
        <f>WBS!A36</f>
        <v>3.2</v>
      </c>
      <c r="B42" s="20" t="str">
        <f>WBS!B36</f>
        <v>   Thiết kế cơ sở dữ liệu</v>
      </c>
      <c r="C42" s="21">
        <f>WBS!E36</f>
        <v>46212</v>
      </c>
      <c r="D42" s="21">
        <f>WBS!F36</f>
        <v>46223</v>
      </c>
      <c r="E42" s="20" t="str">
        <f>WBS!D36</f>
        <v>SA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 outlineLevel="2">
      <c r="A43" s="23" t="str">
        <f>WBS!A37</f>
        <v>3.2.1</v>
      </c>
      <c r="B43" s="23" t="str">
        <f>WBS!B37</f>
        <v>      Mô hình dữ liệu logic &amp; vật lý (ERD)</v>
      </c>
      <c r="C43" s="24">
        <f>WBS!E37</f>
        <v>46212</v>
      </c>
      <c r="D43" s="24">
        <f>WBS!F37</f>
        <v>46217</v>
      </c>
      <c r="E43" s="23" t="str">
        <f>WBS!D37</f>
        <v>SA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 outlineLevel="2">
      <c r="A44" s="23" t="str">
        <f>WBS!A38</f>
        <v>3.2.2</v>
      </c>
      <c r="B44" s="23" t="str">
        <f>WBS!B38</f>
        <v>      Từ điển dữ liệu, chỉ mục &amp; phân quyền truy cập</v>
      </c>
      <c r="C44" s="24">
        <f>WBS!E38</f>
        <v>46218</v>
      </c>
      <c r="D44" s="24">
        <f>WBS!F38</f>
        <v>46223</v>
      </c>
      <c r="E44" s="23" t="str">
        <f>WBS!D38</f>
        <v>DEV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 outlineLevel="1">
      <c r="A45" s="20" t="str">
        <f>WBS!A39</f>
        <v>3.3</v>
      </c>
      <c r="B45" s="20" t="str">
        <f>WBS!B39</f>
        <v>   Thiết kế UI/UX</v>
      </c>
      <c r="C45" s="21">
        <f>WBS!E39</f>
        <v>46206</v>
      </c>
      <c r="D45" s="21">
        <f>WBS!F39</f>
        <v>46224</v>
      </c>
      <c r="E45" s="20" t="str">
        <f>WBS!D39</f>
        <v>UX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 outlineLevel="2">
      <c r="A46" s="23" t="str">
        <f>WBS!A40</f>
        <v>3.3.1</v>
      </c>
      <c r="B46" s="23" t="str">
        <f>WBS!B40</f>
        <v>      Sơ đồ trang &amp; Menu Layer</v>
      </c>
      <c r="C46" s="24">
        <f>WBS!E40</f>
        <v>46206</v>
      </c>
      <c r="D46" s="24">
        <f>WBS!F40</f>
        <v>46209</v>
      </c>
      <c r="E46" s="23" t="str">
        <f>WBS!D40</f>
        <v>UX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 outlineLevel="2">
      <c r="A47" s="23" t="str">
        <f>WBS!A41</f>
        <v>3.3.2</v>
      </c>
      <c r="B47" s="23" t="str">
        <f>WBS!B41</f>
        <v>      Wireframe luồng mua hàng</v>
      </c>
      <c r="C47" s="24">
        <f>WBS!E41</f>
        <v>46210</v>
      </c>
      <c r="D47" s="24">
        <f>WBS!F41</f>
        <v>46213</v>
      </c>
      <c r="E47" s="23" t="str">
        <f>WBS!D41</f>
        <v>UX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 outlineLevel="2">
      <c r="A48" s="23" t="str">
        <f>WBS!A42</f>
        <v>3.3.3</v>
      </c>
      <c r="B48" s="23" t="str">
        <f>WBS!B42</f>
        <v>      Mockup màn hình Quản lý sản phẩm</v>
      </c>
      <c r="C48" s="24">
        <f>WBS!E42</f>
        <v>46216</v>
      </c>
      <c r="D48" s="24">
        <f>WBS!F42</f>
        <v>46219</v>
      </c>
      <c r="E48" s="23" t="str">
        <f>WBS!D42</f>
        <v>UX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 outlineLevel="2">
      <c r="A49" s="23" t="str">
        <f>WBS!A43</f>
        <v>3.3.4</v>
      </c>
      <c r="B49" s="23" t="str">
        <f>WBS!B43</f>
        <v>      Mockup màn hình Đơn hàng &amp; Thanh toán</v>
      </c>
      <c r="C49" s="24">
        <f>WBS!E43</f>
        <v>46217</v>
      </c>
      <c r="D49" s="24">
        <f>WBS!F43</f>
        <v>46223</v>
      </c>
      <c r="E49" s="23" t="str">
        <f>WBS!D43</f>
        <v>UX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 outlineLevel="2">
      <c r="A50" s="23" t="str">
        <f>WBS!A44</f>
        <v>3.3.5</v>
      </c>
      <c r="B50" s="23" t="str">
        <f>WBS!B44</f>
        <v>      Mockup màn hình Quản lý khách hàng</v>
      </c>
      <c r="C50" s="24">
        <f>WBS!E44</f>
        <v>46218</v>
      </c>
      <c r="D50" s="24">
        <f>WBS!F44</f>
        <v>46223</v>
      </c>
      <c r="E50" s="23" t="str">
        <f>WBS!D44</f>
        <v>UX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 outlineLevel="2">
      <c r="A51" s="23" t="str">
        <f>WBS!A45</f>
        <v>3.3.6</v>
      </c>
      <c r="B51" s="23" t="str">
        <f>WBS!B45</f>
        <v>      Kiểm tra, duyệt thiết kế mockup</v>
      </c>
      <c r="C51" s="24">
        <f>WBS!E45</f>
        <v>46224</v>
      </c>
      <c r="D51" s="24">
        <f>WBS!F45</f>
        <v>46224</v>
      </c>
      <c r="E51" s="23" t="str">
        <f>WBS!D45</f>
        <v>UX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 outlineLevel="1">
      <c r="A52" s="20" t="str">
        <f>WBS!A46</f>
        <v>3.4</v>
      </c>
      <c r="B52" s="20" t="str">
        <f>WBS!B46</f>
        <v>   Thiết kế tích hợp hệ thống</v>
      </c>
      <c r="C52" s="21">
        <f>WBS!E46</f>
        <v>46213</v>
      </c>
      <c r="D52" s="21">
        <f>WBS!F46</f>
        <v>46224</v>
      </c>
      <c r="E52" s="20" t="str">
        <f>WBS!D46</f>
        <v>SA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 outlineLevel="2">
      <c r="A53" s="23" t="str">
        <f>WBS!A47</f>
        <v>3.4.1</v>
      </c>
      <c r="B53" s="23" t="str">
        <f>WBS!B47</f>
        <v>      Xác định mô hình tích hợp (API Gateway, ESB, Point-to-Point...), phương thức tích hợp (REST/GraphQL cho đồng bộ, Kafka/RabbitMQ cho bất đồng bộ)</v>
      </c>
      <c r="C53" s="24">
        <f>WBS!E47</f>
        <v>46213</v>
      </c>
      <c r="D53" s="24">
        <f>WBS!F47</f>
        <v>46218</v>
      </c>
      <c r="E53" s="23" t="str">
        <f>WBS!D47</f>
        <v>SA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 outlineLevel="2">
      <c r="A54" s="23" t="str">
        <f>WBS!A48</f>
        <v>3.4.3</v>
      </c>
      <c r="B54" s="23" t="str">
        <f>WBS!B48</f>
        <v>      Lập danh sách các API/Web Service</v>
      </c>
      <c r="C54" s="24">
        <f>WBS!E48</f>
        <v>46217</v>
      </c>
      <c r="D54" s="24">
        <f>WBS!F48</f>
        <v>46220</v>
      </c>
      <c r="E54" s="23" t="str">
        <f>WBS!D48</f>
        <v>SA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 outlineLevel="2">
      <c r="A55" s="23" t="str">
        <f>WBS!A49</f>
        <v>3.4.4</v>
      </c>
      <c r="B55" s="23" t="str">
        <f>WBS!B49</f>
        <v>      Đặc tả thiết kế API cho các phân hệ sản phẩm, đơn hàng, khách hàng</v>
      </c>
      <c r="C55" s="24">
        <f>WBS!E49</f>
        <v>46218</v>
      </c>
      <c r="D55" s="24">
        <f>WBS!F49</f>
        <v>46224</v>
      </c>
      <c r="E55" s="23" t="str">
        <f>WBS!D49</f>
        <v>SA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 outlineLevel="2">
      <c r="A56" s="23" t="str">
        <f t="shared" ref="A56:E56" si="2">#REF!</f>
        <v>#REF!</v>
      </c>
      <c r="B56" s="23" t="str">
        <f t="shared" si="2"/>
        <v>#REF!</v>
      </c>
      <c r="C56" s="24" t="str">
        <f t="shared" si="2"/>
        <v>#REF!</v>
      </c>
      <c r="D56" s="24" t="str">
        <f t="shared" si="2"/>
        <v>#REF!</v>
      </c>
      <c r="E56" s="23" t="str">
        <f t="shared" si="2"/>
        <v>#REF!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 outlineLevel="2">
      <c r="A57" s="23" t="str">
        <f t="shared" ref="A57:E57" si="3">#REF!</f>
        <v>#REF!</v>
      </c>
      <c r="B57" s="23" t="str">
        <f t="shared" si="3"/>
        <v>#REF!</v>
      </c>
      <c r="C57" s="24" t="str">
        <f t="shared" si="3"/>
        <v>#REF!</v>
      </c>
      <c r="D57" s="24" t="str">
        <f t="shared" si="3"/>
        <v>#REF!</v>
      </c>
      <c r="E57" s="23" t="str">
        <f t="shared" si="3"/>
        <v>#REF!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 outlineLevel="1">
      <c r="A58" s="20" t="str">
        <f>WBS!A50</f>
        <v>3.5</v>
      </c>
      <c r="B58" s="20" t="str">
        <f>WBS!B50</f>
        <v>   Thiết kế chi tiết (LLD)</v>
      </c>
      <c r="C58" s="21">
        <f>WBS!E50</f>
        <v>46218</v>
      </c>
      <c r="D58" s="21">
        <f>WBS!F50</f>
        <v>46230</v>
      </c>
      <c r="E58" s="20" t="str">
        <f>WBS!D50</f>
        <v>DEV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 outlineLevel="2">
      <c r="A59" s="23" t="str">
        <f>WBS!A51</f>
        <v>3.5.1</v>
      </c>
      <c r="B59" s="23" t="str">
        <f>WBS!B51</f>
        <v>      LLD – Quản lý sản phẩm</v>
      </c>
      <c r="C59" s="24">
        <f>WBS!E51</f>
        <v>46218</v>
      </c>
      <c r="D59" s="24">
        <f>WBS!F51</f>
        <v>46225</v>
      </c>
      <c r="E59" s="23" t="str">
        <f>WBS!D51</f>
        <v>DEV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 outlineLevel="2">
      <c r="A60" s="23" t="str">
        <f>WBS!A52</f>
        <v>3.5.2</v>
      </c>
      <c r="B60" s="23" t="str">
        <f>WBS!B52</f>
        <v>      LLD – Quản lý đơn hàng &amp; thanh toán</v>
      </c>
      <c r="C60" s="24">
        <f>WBS!E52</f>
        <v>46218</v>
      </c>
      <c r="D60" s="24">
        <f>WBS!F52</f>
        <v>46230</v>
      </c>
      <c r="E60" s="23" t="str">
        <f>WBS!D52</f>
        <v>DEV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 outlineLevel="2">
      <c r="A61" s="23" t="str">
        <f>WBS!A53</f>
        <v>3.5.3</v>
      </c>
      <c r="B61" s="23" t="str">
        <f>WBS!B53</f>
        <v>      LLD – Quản lý khách hàng</v>
      </c>
      <c r="C61" s="24">
        <f>WBS!E53</f>
        <v>46218</v>
      </c>
      <c r="D61" s="24">
        <f>WBS!F53</f>
        <v>46225</v>
      </c>
      <c r="E61" s="23" t="str">
        <f>WBS!D53</f>
        <v>DEV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 outlineLevel="2">
      <c r="A62" s="23" t="str">
        <f t="shared" ref="A62:E62" si="4">#REF!</f>
        <v>#REF!</v>
      </c>
      <c r="B62" s="23" t="str">
        <f t="shared" si="4"/>
        <v>#REF!</v>
      </c>
      <c r="C62" s="24" t="str">
        <f t="shared" si="4"/>
        <v>#REF!</v>
      </c>
      <c r="D62" s="24" t="str">
        <f t="shared" si="4"/>
        <v>#REF!</v>
      </c>
      <c r="E62" s="23" t="str">
        <f t="shared" si="4"/>
        <v>#REF!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 outlineLevel="2">
      <c r="A63" s="23" t="str">
        <f>WBS!A54</f>
        <v>3.5.5</v>
      </c>
      <c r="B63" s="23" t="str">
        <f>WBS!B54</f>
        <v>      LLD – Tích hợp hệ thống</v>
      </c>
      <c r="C63" s="24">
        <f>WBS!E54</f>
        <v>46224</v>
      </c>
      <c r="D63" s="24">
        <f>WBS!F54</f>
        <v>46226</v>
      </c>
      <c r="E63" s="23" t="str">
        <f>WBS!D54</f>
        <v>DEV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 outlineLevel="1">
      <c r="A64" s="20" t="str">
        <f>WBS!A55</f>
        <v>3.6</v>
      </c>
      <c r="B64" s="20" t="str">
        <f>WBS!B55</f>
        <v>   Rà soát &amp; phê duyệt thiết kế</v>
      </c>
      <c r="C64" s="21">
        <f>WBS!E55</f>
        <v>46224</v>
      </c>
      <c r="D64" s="21">
        <f>WBS!F55</f>
        <v>46234</v>
      </c>
      <c r="E64" s="20" t="str">
        <f>WBS!D55</f>
        <v>SA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 outlineLevel="2">
      <c r="A65" s="23" t="str">
        <f>WBS!A56</f>
        <v>3.6.1</v>
      </c>
      <c r="B65" s="23" t="str">
        <f>WBS!B56</f>
        <v>      Rà soát thiết kế</v>
      </c>
      <c r="C65" s="24">
        <f>WBS!E56</f>
        <v>46224</v>
      </c>
      <c r="D65" s="24">
        <f>WBS!F56</f>
        <v>46232</v>
      </c>
      <c r="E65" s="23" t="str">
        <f>WBS!D56</f>
        <v>SA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 outlineLevel="2">
      <c r="A66" s="23" t="str">
        <f t="shared" ref="A66:E66" si="5">#REF!</f>
        <v>#REF!</v>
      </c>
      <c r="B66" s="23" t="str">
        <f t="shared" si="5"/>
        <v>#REF!</v>
      </c>
      <c r="C66" s="24" t="str">
        <f t="shared" si="5"/>
        <v>#REF!</v>
      </c>
      <c r="D66" s="24" t="str">
        <f t="shared" si="5"/>
        <v>#REF!</v>
      </c>
      <c r="E66" s="23" t="str">
        <f t="shared" si="5"/>
        <v>#REF!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 outlineLevel="2">
      <c r="A67" s="23" t="str">
        <f>WBS!A57</f>
        <v>3.6.2</v>
      </c>
      <c r="B67" s="23" t="str">
        <f>WBS!B57</f>
        <v>      Phê duyệt bộ tài liệu thiết kế (M2)</v>
      </c>
      <c r="C67" s="24">
        <f>WBS!E57</f>
        <v>46234</v>
      </c>
      <c r="D67" s="24">
        <f>WBS!F57</f>
        <v>46234</v>
      </c>
      <c r="E67" s="23" t="str">
        <f>WBS!D57</f>
        <v>PM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0" t="str">
        <f>WBS!A58</f>
        <v>4</v>
      </c>
      <c r="B68" s="20" t="str">
        <f>WBS!B58</f>
        <v>Xây dựng, Phát triển hệ thống</v>
      </c>
      <c r="C68" s="21">
        <f>WBS!E58</f>
        <v>46237</v>
      </c>
      <c r="D68" s="21">
        <f>WBS!F58</f>
        <v>46276</v>
      </c>
      <c r="E68" s="20" t="str">
        <f>WBS!D58</f>
        <v>DEV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 outlineLevel="1">
      <c r="A69" s="20" t="str">
        <f>WBS!A59</f>
        <v>4.1</v>
      </c>
      <c r="B69" s="20" t="str">
        <f>WBS!B59</f>
        <v>   Môi trường &amp; khung ứng dụng</v>
      </c>
      <c r="C69" s="21">
        <f>WBS!E59</f>
        <v>46237</v>
      </c>
      <c r="D69" s="21">
        <f>WBS!F59</f>
        <v>46252</v>
      </c>
      <c r="E69" s="20" t="str">
        <f>WBS!D59</f>
        <v>OPS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 outlineLevel="2">
      <c r="A70" s="23" t="str">
        <f>WBS!A60</f>
        <v>4.1.1</v>
      </c>
      <c r="B70" s="23" t="str">
        <f>WBS!B60</f>
        <v>      Thiết lập môi trường DEV &amp; SIT</v>
      </c>
      <c r="C70" s="24">
        <f>WBS!E60</f>
        <v>46237</v>
      </c>
      <c r="D70" s="24">
        <f>WBS!F60</f>
        <v>46239</v>
      </c>
      <c r="E70" s="23" t="str">
        <f>WBS!D60</f>
        <v>OPS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 outlineLevel="2">
      <c r="A71" s="23" t="str">
        <f>WBS!A61</f>
        <v>4.1.2</v>
      </c>
      <c r="B71" s="23" t="str">
        <f>WBS!B61</f>
        <v>      Thiết lập môi trường UAT</v>
      </c>
      <c r="C71" s="24">
        <f>WBS!E61</f>
        <v>46240</v>
      </c>
      <c r="D71" s="24">
        <f>WBS!F61</f>
        <v>46241</v>
      </c>
      <c r="E71" s="23" t="str">
        <f>WBS!D61</f>
        <v>OPS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 outlineLevel="2">
      <c r="A72" s="23" t="str">
        <f>WBS!A62</f>
        <v>4.1.3</v>
      </c>
      <c r="B72" s="23" t="str">
        <f>WBS!B62</f>
        <v>      Thiết lập môi trường PROD (cân bằng tải, CDN, WAF)</v>
      </c>
      <c r="C72" s="24">
        <f>WBS!E62</f>
        <v>46246</v>
      </c>
      <c r="D72" s="24">
        <f>WBS!F62</f>
        <v>46251</v>
      </c>
      <c r="E72" s="23" t="str">
        <f>WBS!D62</f>
        <v>OPS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 outlineLevel="2">
      <c r="A73" s="23" t="str">
        <f>WBS!A63</f>
        <v>4.1.4</v>
      </c>
      <c r="B73" s="23" t="str">
        <f>WBS!B63</f>
        <v>      Thiết lập pipeline CI/CD</v>
      </c>
      <c r="C73" s="24">
        <f>WBS!E63</f>
        <v>46239</v>
      </c>
      <c r="D73" s="24">
        <f>WBS!F63</f>
        <v>46244</v>
      </c>
      <c r="E73" s="23" t="str">
        <f>WBS!D63</f>
        <v>OPS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 outlineLevel="2">
      <c r="A74" s="23" t="str">
        <f>WBS!A64</f>
        <v>4.1.5</v>
      </c>
      <c r="B74" s="23" t="str">
        <f>WBS!B64</f>
        <v>      Cấu hình giám sát, cảnh báo &amp; sao lưu</v>
      </c>
      <c r="C74" s="24">
        <f>WBS!E64</f>
        <v>46246</v>
      </c>
      <c r="D74" s="24">
        <f>WBS!F64</f>
        <v>46251</v>
      </c>
      <c r="E74" s="23" t="str">
        <f>WBS!D64</f>
        <v>OPS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 outlineLevel="2">
      <c r="A75" s="23" t="str">
        <f>WBS!A65</f>
        <v>4.1.6</v>
      </c>
      <c r="B75" s="23" t="str">
        <f>WBS!B65</f>
        <v>      Xây dựng khung ứng dụng &amp; thư viện dùng chung Front-end</v>
      </c>
      <c r="C75" s="24">
        <f>WBS!E65</f>
        <v>46245</v>
      </c>
      <c r="D75" s="24">
        <f>WBS!F65</f>
        <v>46248</v>
      </c>
      <c r="E75" s="23" t="str">
        <f>WBS!D65</f>
        <v>DEV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 outlineLevel="2">
      <c r="A76" s="23" t="str">
        <f>WBS!A66</f>
        <v>4.1.7</v>
      </c>
      <c r="B76" s="23" t="str">
        <f>WBS!B66</f>
        <v>      Xây dựng thành phần dùng chung Back-end (log, cấu hình, xử lý lỗi, bảo mật)</v>
      </c>
      <c r="C76" s="24">
        <f>WBS!E66</f>
        <v>46245</v>
      </c>
      <c r="D76" s="24">
        <f>WBS!F66</f>
        <v>46248</v>
      </c>
      <c r="E76" s="23" t="str">
        <f>WBS!D66</f>
        <v>DEV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 outlineLevel="2">
      <c r="A77" s="23" t="str">
        <f>WBS!A67</f>
        <v>4.1.8</v>
      </c>
      <c r="B77" s="23" t="str">
        <f>WBS!B67</f>
        <v>      Hiện thực DB (DDL, chỉ mục, phân quyền)</v>
      </c>
      <c r="C77" s="24">
        <f>WBS!E67</f>
        <v>46247</v>
      </c>
      <c r="D77" s="24">
        <f>WBS!F67</f>
        <v>46252</v>
      </c>
      <c r="E77" s="23" t="str">
        <f>WBS!D67</f>
        <v>DEV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 outlineLevel="2">
      <c r="A78" s="23" t="str">
        <f t="shared" ref="A78:E78" si="6">#REF!</f>
        <v>#REF!</v>
      </c>
      <c r="B78" s="23" t="str">
        <f t="shared" si="6"/>
        <v>#REF!</v>
      </c>
      <c r="C78" s="24" t="str">
        <f t="shared" si="6"/>
        <v>#REF!</v>
      </c>
      <c r="D78" s="24" t="str">
        <f t="shared" si="6"/>
        <v>#REF!</v>
      </c>
      <c r="E78" s="23" t="str">
        <f t="shared" si="6"/>
        <v>#REF!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 outlineLevel="1">
      <c r="A79" s="20" t="str">
        <f>WBS!A68</f>
        <v>4.2</v>
      </c>
      <c r="B79" s="20" t="str">
        <f>WBS!B68</f>
        <v>  Chức năng Quản lý khách hàng</v>
      </c>
      <c r="C79" s="21">
        <f>WBS!E68</f>
        <v>46248</v>
      </c>
      <c r="D79" s="21">
        <f>WBS!F68</f>
        <v>46254</v>
      </c>
      <c r="E79" s="20" t="str">
        <f>WBS!D68</f>
        <v>DEV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 outlineLevel="2">
      <c r="A80" s="20" t="str">
        <f>WBS!A69</f>
        <v>4.2.1</v>
      </c>
      <c r="B80" s="20" t="str">
        <f>WBS!B69</f>
        <v>      Đăng ký tài khoản</v>
      </c>
      <c r="C80" s="21">
        <f>WBS!E69</f>
        <v>46248</v>
      </c>
      <c r="D80" s="21">
        <f>WBS!F69</f>
        <v>46253</v>
      </c>
      <c r="E80" s="20" t="str">
        <f>WBS!D69</f>
        <v>DEV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 outlineLevel="3">
      <c r="A81" s="23" t="str">
        <f>WBS!A70</f>
        <v>4.2.1.1</v>
      </c>
      <c r="B81" s="23" t="str">
        <f>WBS!B70</f>
        <v>         Xây dựng UI đăng ký tài khoản</v>
      </c>
      <c r="C81" s="24">
        <f>WBS!E70</f>
        <v>46248</v>
      </c>
      <c r="D81" s="24">
        <f>WBS!F70</f>
        <v>46253</v>
      </c>
      <c r="E81" s="23" t="str">
        <f>WBS!D70</f>
        <v>DEV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 outlineLevel="3">
      <c r="A82" s="23" t="str">
        <f>WBS!A71</f>
        <v>4.2.1.2</v>
      </c>
      <c r="B82" s="23" t="str">
        <f>WBS!B71</f>
        <v>         Xây dựng API đăng ký &amp; xác thực OTP</v>
      </c>
      <c r="C82" s="24">
        <f>WBS!E71</f>
        <v>46248</v>
      </c>
      <c r="D82" s="24">
        <f>WBS!F71</f>
        <v>46248</v>
      </c>
      <c r="E82" s="23" t="str">
        <f>WBS!D71</f>
        <v>DEV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 outlineLevel="3">
      <c r="A83" s="23" t="str">
        <f>WBS!A72</f>
        <v>4.2.1.3</v>
      </c>
      <c r="B83" s="23" t="str">
        <f>WBS!B72</f>
        <v>         Tích hợp UI – API đăng ký</v>
      </c>
      <c r="C83" s="24">
        <f>WBS!E72</f>
        <v>46252</v>
      </c>
      <c r="D83" s="24">
        <f>WBS!F72</f>
        <v>46252</v>
      </c>
      <c r="E83" s="23" t="str">
        <f>WBS!D72</f>
        <v>DEV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 outlineLevel="3">
      <c r="A84" s="23" t="str">
        <f>WBS!A73</f>
        <v>4.2.1.4</v>
      </c>
      <c r="B84" s="23" t="str">
        <f>WBS!B73</f>
        <v>         Kiểm thử đơn vị chức năng đăng ký</v>
      </c>
      <c r="C84" s="24">
        <f>WBS!E73</f>
        <v>46253</v>
      </c>
      <c r="D84" s="24">
        <f>WBS!F73</f>
        <v>46253</v>
      </c>
      <c r="E84" s="23" t="str">
        <f>WBS!D73</f>
        <v>DEV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 outlineLevel="2">
      <c r="A85" s="20" t="str">
        <f>WBS!A74</f>
        <v>4.2.2</v>
      </c>
      <c r="B85" s="20" t="str">
        <f>WBS!B74</f>
        <v>      Đăng nhập &amp; quản lý phiên</v>
      </c>
      <c r="C85" s="21">
        <f>WBS!E74</f>
        <v>46248</v>
      </c>
      <c r="D85" s="21">
        <f>WBS!F74</f>
        <v>46253</v>
      </c>
      <c r="E85" s="20" t="str">
        <f>WBS!D74</f>
        <v>DEV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 outlineLevel="3">
      <c r="A86" s="23" t="str">
        <f>WBS!A75</f>
        <v>4.2.2.1</v>
      </c>
      <c r="B86" s="23" t="str">
        <f>WBS!B75</f>
        <v>         Xây dựng UI đăng nhập / đăng xuất</v>
      </c>
      <c r="C86" s="24">
        <f>WBS!E75</f>
        <v>46248</v>
      </c>
      <c r="D86" s="24">
        <f>WBS!F75</f>
        <v>46248</v>
      </c>
      <c r="E86" s="23" t="str">
        <f>WBS!D75</f>
        <v>DEV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 outlineLevel="3">
      <c r="A87" s="23" t="str">
        <f>WBS!A76</f>
        <v>4.2.2.2</v>
      </c>
      <c r="B87" s="23" t="str">
        <f>WBS!B76</f>
        <v>         Xây dựng API đăng nhập, refresh token</v>
      </c>
      <c r="C87" s="24">
        <f>WBS!E76</f>
        <v>46248</v>
      </c>
      <c r="D87" s="24">
        <f>WBS!F76</f>
        <v>46248</v>
      </c>
      <c r="E87" s="23" t="str">
        <f>WBS!D76</f>
        <v>DEV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 outlineLevel="3">
      <c r="A88" s="23" t="str">
        <f>WBS!A77</f>
        <v>4.2.2.3</v>
      </c>
      <c r="B88" s="23" t="str">
        <f>WBS!B77</f>
        <v>         Xử lý ngoại lệ 401/403 &amp; khóa tài khoản khi đăng nhập sai nhiều lần</v>
      </c>
      <c r="C88" s="24">
        <f>WBS!E77</f>
        <v>46252</v>
      </c>
      <c r="D88" s="24">
        <f>WBS!F77</f>
        <v>46252</v>
      </c>
      <c r="E88" s="23" t="str">
        <f>WBS!D77</f>
        <v>DEV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 outlineLevel="3">
      <c r="A89" s="23" t="str">
        <f>WBS!A78</f>
        <v>4.2.2.4</v>
      </c>
      <c r="B89" s="23" t="str">
        <f>WBS!B78</f>
        <v>         Tích hợp &amp; kiểm thử đơn vị chức năng đăng nhập</v>
      </c>
      <c r="C89" s="24">
        <f>WBS!E78</f>
        <v>46253</v>
      </c>
      <c r="D89" s="24">
        <f>WBS!F78</f>
        <v>46253</v>
      </c>
      <c r="E89" s="23" t="str">
        <f>WBS!D78</f>
        <v>DEV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 outlineLevel="2">
      <c r="A90" s="20" t="str">
        <f>WBS!A79</f>
        <v>4.2.3</v>
      </c>
      <c r="B90" s="20" t="str">
        <f>WBS!B79</f>
        <v>      Quên mật khẩu &amp; đổi mật khẩu</v>
      </c>
      <c r="C90" s="21">
        <f>WBS!E79</f>
        <v>46248</v>
      </c>
      <c r="D90" s="21">
        <f>WBS!F79</f>
        <v>46252</v>
      </c>
      <c r="E90" s="20" t="str">
        <f>WBS!D79</f>
        <v>DEV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 outlineLevel="3">
      <c r="A91" s="23" t="str">
        <f>WBS!A80</f>
        <v>4.2.3.1</v>
      </c>
      <c r="B91" s="23" t="str">
        <f>WBS!B80</f>
        <v>         Xây dựng UI quên/đổi mật khẩu</v>
      </c>
      <c r="C91" s="24">
        <f>WBS!E80</f>
        <v>46248</v>
      </c>
      <c r="D91" s="24">
        <f>WBS!F80</f>
        <v>46248</v>
      </c>
      <c r="E91" s="23" t="str">
        <f>WBS!D80</f>
        <v>DEV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 outlineLevel="3">
      <c r="A92" s="23" t="str">
        <f>WBS!A81</f>
        <v>4.2.3.2</v>
      </c>
      <c r="B92" s="23" t="str">
        <f>WBS!B81</f>
        <v>         Xây dựng API đặt lại mật khẩu (token hết hạn)</v>
      </c>
      <c r="C92" s="24">
        <f>WBS!E81</f>
        <v>46251</v>
      </c>
      <c r="D92" s="24">
        <f>WBS!F81</f>
        <v>46251</v>
      </c>
      <c r="E92" s="23" t="str">
        <f>WBS!D81</f>
        <v>DEV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 outlineLevel="3">
      <c r="A93" s="23" t="str">
        <f>WBS!A82</f>
        <v>4.2.3.3</v>
      </c>
      <c r="B93" s="23" t="str">
        <f>WBS!B82</f>
        <v>         Tích hợp &amp; kiểm thử đơn vị</v>
      </c>
      <c r="C93" s="24">
        <f>WBS!E82</f>
        <v>46252</v>
      </c>
      <c r="D93" s="24">
        <f>WBS!F82</f>
        <v>46252</v>
      </c>
      <c r="E93" s="23" t="str">
        <f>WBS!D82</f>
        <v>DEV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 outlineLevel="2">
      <c r="A94" s="20" t="str">
        <f>WBS!A83</f>
        <v>4.2.4</v>
      </c>
      <c r="B94" s="20" t="str">
        <f>WBS!B83</f>
        <v>      Hồ sơ cá nhân &amp; sổ địa chỉ giao hàng</v>
      </c>
      <c r="C94" s="21">
        <f>WBS!E83</f>
        <v>46248</v>
      </c>
      <c r="D94" s="21">
        <f>WBS!F83</f>
        <v>46253</v>
      </c>
      <c r="E94" s="20" t="str">
        <f>WBS!D83</f>
        <v>DEV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 outlineLevel="3">
      <c r="A95" s="23" t="str">
        <f>WBS!A84</f>
        <v>4.2.4.1</v>
      </c>
      <c r="B95" s="23" t="str">
        <f>WBS!B84</f>
        <v>         Xây dựng UI hồ sơ cá nhân &amp; sổ địa chỉ</v>
      </c>
      <c r="C95" s="24">
        <f>WBS!E84</f>
        <v>46248</v>
      </c>
      <c r="D95" s="24">
        <f>WBS!F84</f>
        <v>46248</v>
      </c>
      <c r="E95" s="23" t="str">
        <f>WBS!D84</f>
        <v>DEV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 outlineLevel="3">
      <c r="A96" s="23" t="str">
        <f>WBS!A85</f>
        <v>4.2.4.2</v>
      </c>
      <c r="B96" s="23" t="str">
        <f>WBS!B85</f>
        <v>         Xây dựng API cập nhật hồ sơ &amp; địa chỉ giao hàng</v>
      </c>
      <c r="C96" s="24">
        <f>WBS!E85</f>
        <v>46252</v>
      </c>
      <c r="D96" s="24">
        <f>WBS!F85</f>
        <v>46252</v>
      </c>
      <c r="E96" s="23" t="str">
        <f>WBS!D85</f>
        <v>DEV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 outlineLevel="3">
      <c r="A97" s="23" t="str">
        <f>WBS!A86</f>
        <v>4.2.4.3</v>
      </c>
      <c r="B97" s="23" t="str">
        <f>WBS!B86</f>
        <v>         Tích hợp &amp; kiểm thử đơn vị</v>
      </c>
      <c r="C97" s="24">
        <f>WBS!E86</f>
        <v>46253</v>
      </c>
      <c r="D97" s="24">
        <f>WBS!F86</f>
        <v>46253</v>
      </c>
      <c r="E97" s="23" t="str">
        <f>WBS!D86</f>
        <v>DEV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 outlineLevel="2">
      <c r="A98" s="20" t="str">
        <f>WBS!A87</f>
        <v>4.2.5</v>
      </c>
      <c r="B98" s="20" t="str">
        <f>WBS!B87</f>
        <v>      Lịch sử đơn hàng của thành viên</v>
      </c>
      <c r="C98" s="21">
        <f>WBS!E87</f>
        <v>46252</v>
      </c>
      <c r="D98" s="21">
        <f>WBS!F87</f>
        <v>46254</v>
      </c>
      <c r="E98" s="20" t="str">
        <f>WBS!D87</f>
        <v>DEV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 outlineLevel="3">
      <c r="A99" s="23" t="str">
        <f>WBS!A88</f>
        <v>4.2.5.1</v>
      </c>
      <c r="B99" s="23" t="str">
        <f>WBS!B88</f>
        <v>         Xây dựng UI lịch sử đơn hàng</v>
      </c>
      <c r="C99" s="24">
        <f>WBS!E88</f>
        <v>46252</v>
      </c>
      <c r="D99" s="24">
        <f>WBS!F88</f>
        <v>46252</v>
      </c>
      <c r="E99" s="23" t="str">
        <f>WBS!D88</f>
        <v>DEV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 outlineLevel="3">
      <c r="A100" s="23" t="str">
        <f>WBS!A89</f>
        <v>4.2.5.2</v>
      </c>
      <c r="B100" s="23" t="str">
        <f>WBS!B89</f>
        <v>         Xây dựng API truy vấn lịch sử đơn hàng</v>
      </c>
      <c r="C100" s="24">
        <f>WBS!E89</f>
        <v>46253</v>
      </c>
      <c r="D100" s="24">
        <f>WBS!F89</f>
        <v>46253</v>
      </c>
      <c r="E100" s="23" t="str">
        <f>WBS!D89</f>
        <v>DEV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 outlineLevel="3">
      <c r="A101" s="23" t="str">
        <f>WBS!A90</f>
        <v>4.2.5.3</v>
      </c>
      <c r="B101" s="23" t="str">
        <f>WBS!B90</f>
        <v>         Tích hợp &amp; kiểm thử đơn vị</v>
      </c>
      <c r="C101" s="24">
        <f>WBS!E90</f>
        <v>46254</v>
      </c>
      <c r="D101" s="24">
        <f>WBS!F90</f>
        <v>46254</v>
      </c>
      <c r="E101" s="23" t="str">
        <f>WBS!D90</f>
        <v>DEV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 outlineLevel="2">
      <c r="A102" s="20" t="str">
        <f t="shared" ref="A102:E102" si="7">#REF!</f>
        <v>#REF!</v>
      </c>
      <c r="B102" s="20" t="str">
        <f t="shared" si="7"/>
        <v>#REF!</v>
      </c>
      <c r="C102" s="21" t="str">
        <f t="shared" si="7"/>
        <v>#REF!</v>
      </c>
      <c r="D102" s="21" t="str">
        <f t="shared" si="7"/>
        <v>#REF!</v>
      </c>
      <c r="E102" s="20" t="str">
        <f t="shared" si="7"/>
        <v>#REF!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 outlineLevel="3">
      <c r="A103" s="23" t="str">
        <f t="shared" ref="A103:E103" si="8">#REF!</f>
        <v>#REF!</v>
      </c>
      <c r="B103" s="23" t="str">
        <f t="shared" si="8"/>
        <v>#REF!</v>
      </c>
      <c r="C103" s="24" t="str">
        <f t="shared" si="8"/>
        <v>#REF!</v>
      </c>
      <c r="D103" s="24" t="str">
        <f t="shared" si="8"/>
        <v>#REF!</v>
      </c>
      <c r="E103" s="23" t="str">
        <f t="shared" si="8"/>
        <v>#REF!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 outlineLevel="3">
      <c r="A104" s="23" t="str">
        <f t="shared" ref="A104:E104" si="9">#REF!</f>
        <v>#REF!</v>
      </c>
      <c r="B104" s="23" t="str">
        <f t="shared" si="9"/>
        <v>#REF!</v>
      </c>
      <c r="C104" s="24" t="str">
        <f t="shared" si="9"/>
        <v>#REF!</v>
      </c>
      <c r="D104" s="24" t="str">
        <f t="shared" si="9"/>
        <v>#REF!</v>
      </c>
      <c r="E104" s="23" t="str">
        <f t="shared" si="9"/>
        <v>#REF!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 outlineLevel="3">
      <c r="A105" s="23" t="str">
        <f t="shared" ref="A105:E105" si="10">#REF!</f>
        <v>#REF!</v>
      </c>
      <c r="B105" s="23" t="str">
        <f t="shared" si="10"/>
        <v>#REF!</v>
      </c>
      <c r="C105" s="24" t="str">
        <f t="shared" si="10"/>
        <v>#REF!</v>
      </c>
      <c r="D105" s="24" t="str">
        <f t="shared" si="10"/>
        <v>#REF!</v>
      </c>
      <c r="E105" s="23" t="str">
        <f t="shared" si="10"/>
        <v>#REF!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 outlineLevel="2">
      <c r="A106" s="23" t="str">
        <f t="shared" ref="A106:E106" si="11">#REF!</f>
        <v>#REF!</v>
      </c>
      <c r="B106" s="23" t="str">
        <f t="shared" si="11"/>
        <v>#REF!</v>
      </c>
      <c r="C106" s="24" t="str">
        <f t="shared" si="11"/>
        <v>#REF!</v>
      </c>
      <c r="D106" s="24" t="str">
        <f t="shared" si="11"/>
        <v>#REF!</v>
      </c>
      <c r="E106" s="23" t="str">
        <f t="shared" si="11"/>
        <v>#REF!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 outlineLevel="1">
      <c r="A107" s="20" t="str">
        <f>WBS!A91</f>
        <v>4.3</v>
      </c>
      <c r="B107" s="20" t="str">
        <f>WBS!B91</f>
        <v>   Chức năng Quản lý sản phẩm</v>
      </c>
      <c r="C107" s="21">
        <f>WBS!E91</f>
        <v>46248</v>
      </c>
      <c r="D107" s="21">
        <f>WBS!F91</f>
        <v>46254</v>
      </c>
      <c r="E107" s="20" t="str">
        <f>WBS!D91</f>
        <v>DEV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 outlineLevel="2">
      <c r="A108" s="20" t="str">
        <f>WBS!A92</f>
        <v>4.3.1</v>
      </c>
      <c r="B108" s="20" t="str">
        <f>WBS!B92</f>
        <v>      Tìm kiếm sản phẩm</v>
      </c>
      <c r="C108" s="21">
        <f>WBS!E92</f>
        <v>46248</v>
      </c>
      <c r="D108" s="21">
        <f>WBS!F92</f>
        <v>46254</v>
      </c>
      <c r="E108" s="20" t="str">
        <f>WBS!D92</f>
        <v>DEV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 outlineLevel="3">
      <c r="A109" s="23" t="str">
        <f>WBS!A93</f>
        <v>4.3.1.1</v>
      </c>
      <c r="B109" s="23" t="str">
        <f>WBS!B93</f>
        <v>         Xây dựng UI tìm kiếm &amp; gợi ý từ khóa</v>
      </c>
      <c r="C109" s="24">
        <f>WBS!E93</f>
        <v>46248</v>
      </c>
      <c r="D109" s="24">
        <f>WBS!F93</f>
        <v>46251</v>
      </c>
      <c r="E109" s="23" t="str">
        <f>WBS!D93</f>
        <v>DEV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 outlineLevel="3">
      <c r="A110" s="23" t="str">
        <f>WBS!A94</f>
        <v>4.3.1.2</v>
      </c>
      <c r="B110" s="23" t="str">
        <f>WBS!B94</f>
        <v>         Xây dựng API tìm kiếm</v>
      </c>
      <c r="C110" s="24">
        <f>WBS!E94</f>
        <v>46248</v>
      </c>
      <c r="D110" s="24">
        <f>WBS!F94</f>
        <v>46251</v>
      </c>
      <c r="E110" s="23" t="str">
        <f>WBS!D94</f>
        <v>DEV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 outlineLevel="3">
      <c r="A111" s="23" t="str">
        <f>WBS!A95</f>
        <v>4.3.1.3</v>
      </c>
      <c r="B111" s="23" t="str">
        <f>WBS!B95</f>
        <v>         Tích hợp API tìm kiếm</v>
      </c>
      <c r="C111" s="24">
        <f>WBS!E95</f>
        <v>46253</v>
      </c>
      <c r="D111" s="24">
        <f>WBS!F95</f>
        <v>46253</v>
      </c>
      <c r="E111" s="23" t="str">
        <f>WBS!D95</f>
        <v>DEV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 outlineLevel="3">
      <c r="A112" s="23" t="str">
        <f>WBS!A96</f>
        <v>4.3.1.4</v>
      </c>
      <c r="B112" s="23" t="str">
        <f>WBS!B96</f>
        <v>         Kiểm thử đơn vị chức năng tìm kiếm</v>
      </c>
      <c r="C112" s="24">
        <f>WBS!E96</f>
        <v>46254</v>
      </c>
      <c r="D112" s="24">
        <f>WBS!F96</f>
        <v>46254</v>
      </c>
      <c r="E112" s="23" t="str">
        <f>WBS!D96</f>
        <v>DEV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 outlineLevel="2">
      <c r="A113" s="20" t="str">
        <f>WBS!A97</f>
        <v>4.3.2</v>
      </c>
      <c r="B113" s="20" t="str">
        <f>WBS!B97</f>
        <v>      Danh mục &amp; bộ lọc sản phẩm</v>
      </c>
      <c r="C113" s="21">
        <f>WBS!E97</f>
        <v>46248</v>
      </c>
      <c r="D113" s="21">
        <f>WBS!F97</f>
        <v>46253</v>
      </c>
      <c r="E113" s="20" t="str">
        <f>WBS!D97</f>
        <v>DEV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 outlineLevel="3">
      <c r="A114" s="23" t="str">
        <f>WBS!A98</f>
        <v>4.3.2.1</v>
      </c>
      <c r="B114" s="23" t="str">
        <f>WBS!B98</f>
        <v>         Xây dựng UI danh mục, bộ lọc (size, màu, giá), sắp xếp</v>
      </c>
      <c r="C114" s="24">
        <f>WBS!E98</f>
        <v>46248</v>
      </c>
      <c r="D114" s="24">
        <f>WBS!F98</f>
        <v>46248</v>
      </c>
      <c r="E114" s="23" t="str">
        <f>WBS!D98</f>
        <v>DEV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 outlineLevel="3">
      <c r="A115" s="23" t="str">
        <f>WBS!A99</f>
        <v>4.3.2.2</v>
      </c>
      <c r="B115" s="23" t="str">
        <f>WBS!B99</f>
        <v>         Xây dựng API danh mục &amp; lọc sản phẩm</v>
      </c>
      <c r="C115" s="24">
        <f>WBS!E99</f>
        <v>46252</v>
      </c>
      <c r="D115" s="24">
        <f>WBS!F99</f>
        <v>46253</v>
      </c>
      <c r="E115" s="23" t="str">
        <f>WBS!D99</f>
        <v>DEV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 outlineLevel="3">
      <c r="A116" s="23" t="str">
        <f>WBS!A100</f>
        <v>4.3.2.3</v>
      </c>
      <c r="B116" s="23" t="str">
        <f>WBS!B100</f>
        <v>         Tích hợp &amp; kiểm thử đơn vị</v>
      </c>
      <c r="C116" s="24">
        <f>WBS!E100</f>
        <v>46253</v>
      </c>
      <c r="D116" s="24">
        <f>WBS!F100</f>
        <v>46253</v>
      </c>
      <c r="E116" s="23" t="str">
        <f>WBS!D100</f>
        <v>DEV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 outlineLevel="2">
      <c r="A117" s="20" t="str">
        <f>WBS!A101</f>
        <v>4.3.3</v>
      </c>
      <c r="B117" s="20" t="str">
        <f>WBS!B101</f>
        <v>      Chi tiết sản phẩm &amp; hiển thị tồn kho</v>
      </c>
      <c r="C117" s="21">
        <f>WBS!E101</f>
        <v>46248</v>
      </c>
      <c r="D117" s="21">
        <f>WBS!F101</f>
        <v>46253</v>
      </c>
      <c r="E117" s="20" t="str">
        <f>WBS!D101</f>
        <v>DEV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 outlineLevel="3">
      <c r="A118" s="23" t="str">
        <f>WBS!A102</f>
        <v>4.3.3.1</v>
      </c>
      <c r="B118" s="23" t="str">
        <f>WBS!B102</f>
        <v>         Xây dựng UI chi tiết sản phẩm (ảnh, bảng size, khuyến mại)</v>
      </c>
      <c r="C118" s="24">
        <f>WBS!E102</f>
        <v>46248</v>
      </c>
      <c r="D118" s="24">
        <f>WBS!F102</f>
        <v>46248</v>
      </c>
      <c r="E118" s="23" t="str">
        <f>WBS!D102</f>
        <v>DEV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 outlineLevel="3">
      <c r="A119" s="23" t="str">
        <f>WBS!A103</f>
        <v>4.3.3.2</v>
      </c>
      <c r="B119" s="23" t="str">
        <f>WBS!B103</f>
        <v>         Xây dựng API chi tiết sản phẩm &amp; tình trạng tồn kho</v>
      </c>
      <c r="C119" s="24">
        <f>WBS!E103</f>
        <v>46252</v>
      </c>
      <c r="D119" s="24">
        <f>WBS!F103</f>
        <v>46253</v>
      </c>
      <c r="E119" s="23" t="str">
        <f>WBS!D103</f>
        <v>DEV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 outlineLevel="3">
      <c r="A120" s="23" t="str">
        <f>WBS!A104</f>
        <v>4.3.3.3</v>
      </c>
      <c r="B120" s="23" t="str">
        <f>WBS!B104</f>
        <v>         Tích hợp &amp; kiểm thử đơn vị</v>
      </c>
      <c r="C120" s="24">
        <f>WBS!E104</f>
        <v>46253</v>
      </c>
      <c r="D120" s="24">
        <f>WBS!F104</f>
        <v>46253</v>
      </c>
      <c r="E120" s="23" t="str">
        <f>WBS!D104</f>
        <v>DEV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 outlineLevel="2">
      <c r="A121" s="20" t="str">
        <f>WBS!A105</f>
        <v>4.3.4</v>
      </c>
      <c r="B121" s="20" t="str">
        <f>WBS!B105</f>
        <v>      Trang chủ &amp; trang nội dung/chính sách</v>
      </c>
      <c r="C121" s="21">
        <f>WBS!E105</f>
        <v>46252</v>
      </c>
      <c r="D121" s="21">
        <f>WBS!F105</f>
        <v>46254</v>
      </c>
      <c r="E121" s="20" t="str">
        <f>WBS!D105</f>
        <v>DEV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 outlineLevel="3">
      <c r="A122" s="23" t="str">
        <f>WBS!A106</f>
        <v>4.3.4.1</v>
      </c>
      <c r="B122" s="23" t="str">
        <f>WBS!B106</f>
        <v>         Xây dựng UI trang chủ &amp; khối sản phẩm nổi bật</v>
      </c>
      <c r="C122" s="24">
        <f>WBS!E106</f>
        <v>46252</v>
      </c>
      <c r="D122" s="24">
        <f>WBS!F106</f>
        <v>46252</v>
      </c>
      <c r="E122" s="23" t="str">
        <f>WBS!D106</f>
        <v>DEV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 outlineLevel="3">
      <c r="A123" s="23" t="str">
        <f>WBS!A107</f>
        <v>4.3.4.2</v>
      </c>
      <c r="B123" s="23" t="str">
        <f>WBS!B107</f>
        <v>         Xây dựng trang chính sách (đổi trả, vận chuyển, bảo mật)</v>
      </c>
      <c r="C123" s="24">
        <f>WBS!E107</f>
        <v>46254</v>
      </c>
      <c r="D123" s="24">
        <f>WBS!F107</f>
        <v>46254</v>
      </c>
      <c r="E123" s="23" t="str">
        <f>WBS!D107</f>
        <v>DEV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 outlineLevel="2">
      <c r="A124" s="23" t="str">
        <f t="shared" ref="A124:E124" si="12">#REF!</f>
        <v>#REF!</v>
      </c>
      <c r="B124" s="23" t="str">
        <f t="shared" si="12"/>
        <v>#REF!</v>
      </c>
      <c r="C124" s="24" t="str">
        <f t="shared" si="12"/>
        <v>#REF!</v>
      </c>
      <c r="D124" s="24" t="str">
        <f t="shared" si="12"/>
        <v>#REF!</v>
      </c>
      <c r="E124" s="23" t="str">
        <f t="shared" si="12"/>
        <v>#REF!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 outlineLevel="2">
      <c r="A125" s="23" t="str">
        <f t="shared" ref="A125:E125" si="13">#REF!</f>
        <v>#REF!</v>
      </c>
      <c r="B125" s="23" t="str">
        <f t="shared" si="13"/>
        <v>#REF!</v>
      </c>
      <c r="C125" s="24" t="str">
        <f t="shared" si="13"/>
        <v>#REF!</v>
      </c>
      <c r="D125" s="24" t="str">
        <f t="shared" si="13"/>
        <v>#REF!</v>
      </c>
      <c r="E125" s="23" t="str">
        <f t="shared" si="13"/>
        <v>#REF!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 outlineLevel="1">
      <c r="A126" s="20" t="str">
        <f>WBS!A108</f>
        <v>4.4</v>
      </c>
      <c r="B126" s="20" t="str">
        <f>WBS!B108</f>
        <v>   Chức năng Quản lý đơn hàng &amp; thanh toán</v>
      </c>
      <c r="C126" s="21">
        <f>WBS!E108</f>
        <v>46252</v>
      </c>
      <c r="D126" s="21">
        <f>WBS!F108</f>
        <v>46262</v>
      </c>
      <c r="E126" s="20" t="str">
        <f>WBS!D108</f>
        <v>DEV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 outlineLevel="2">
      <c r="A127" s="20" t="str">
        <f>WBS!A109</f>
        <v>4.4.1</v>
      </c>
      <c r="B127" s="20" t="str">
        <f>WBS!B109</f>
        <v>      Giỏ hàng</v>
      </c>
      <c r="C127" s="21">
        <f>WBS!E109</f>
        <v>46252</v>
      </c>
      <c r="D127" s="21">
        <f>WBS!F109</f>
        <v>46255</v>
      </c>
      <c r="E127" s="20" t="str">
        <f>WBS!D109</f>
        <v>DEV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 outlineLevel="3">
      <c r="A128" s="23" t="str">
        <f>WBS!A110</f>
        <v>4.4.1.1</v>
      </c>
      <c r="B128" s="23" t="str">
        <f>WBS!B110</f>
        <v>         Xây dựng UI giỏ hàng &amp; chi tiết giỏ hàng</v>
      </c>
      <c r="C128" s="24">
        <f>WBS!E110</f>
        <v>46252</v>
      </c>
      <c r="D128" s="24">
        <f>WBS!F110</f>
        <v>46252</v>
      </c>
      <c r="E128" s="23" t="str">
        <f>WBS!D110</f>
        <v>DEV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 outlineLevel="3">
      <c r="A129" s="23" t="str">
        <f>WBS!A111</f>
        <v>4.4.1.2</v>
      </c>
      <c r="B129" s="23" t="str">
        <f>WBS!B111</f>
        <v>         Xây dựng API giỏ hàng (thêm, sửa, xóa, lưu giỏ cho thành viên)</v>
      </c>
      <c r="C129" s="24">
        <f>WBS!E111</f>
        <v>46252</v>
      </c>
      <c r="D129" s="24">
        <f>WBS!F111</f>
        <v>46252</v>
      </c>
      <c r="E129" s="23" t="str">
        <f>WBS!D111</f>
        <v>DEV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 outlineLevel="3">
      <c r="A130" s="23" t="str">
        <f>WBS!A112</f>
        <v>4.4.1.3</v>
      </c>
      <c r="B130" s="23" t="str">
        <f>WBS!B112</f>
        <v>         Xử lý logic tính tiền, số lượng, giới hạn mua</v>
      </c>
      <c r="C130" s="24">
        <f>WBS!E112</f>
        <v>46254</v>
      </c>
      <c r="D130" s="24">
        <f>WBS!F112</f>
        <v>46254</v>
      </c>
      <c r="E130" s="23" t="str">
        <f>WBS!D112</f>
        <v>DEV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 outlineLevel="3">
      <c r="A131" s="23" t="str">
        <f>WBS!A113</f>
        <v>4.4.1.4</v>
      </c>
      <c r="B131" s="23" t="str">
        <f>WBS!B113</f>
        <v>         Tích hợp &amp; kiểm thử đơn vị chức năng giỏ hàng</v>
      </c>
      <c r="C131" s="24">
        <f>WBS!E113</f>
        <v>46255</v>
      </c>
      <c r="D131" s="24">
        <f>WBS!F113</f>
        <v>46255</v>
      </c>
      <c r="E131" s="23" t="str">
        <f>WBS!D113</f>
        <v>DEV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 outlineLevel="2">
      <c r="A132" s="20" t="str">
        <f>WBS!A114</f>
        <v>4.4.2</v>
      </c>
      <c r="B132" s="20" t="str">
        <f>WBS!B114</f>
        <v>      Đặt hàng (Checkout)</v>
      </c>
      <c r="C132" s="21">
        <f>WBS!E114</f>
        <v>46253</v>
      </c>
      <c r="D132" s="21">
        <f>WBS!F114</f>
        <v>46258</v>
      </c>
      <c r="E132" s="20" t="str">
        <f>WBS!D114</f>
        <v>DEV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 outlineLevel="3">
      <c r="A133" s="23" t="str">
        <f>WBS!A115</f>
        <v>4.4.2.1</v>
      </c>
      <c r="B133" s="23" t="str">
        <f>WBS!B115</f>
        <v>         Xây dựng UI các bước checkout &amp; xác nhận đơn</v>
      </c>
      <c r="C133" s="24">
        <f>WBS!E115</f>
        <v>46253</v>
      </c>
      <c r="D133" s="24">
        <f>WBS!F115</f>
        <v>46253</v>
      </c>
      <c r="E133" s="23" t="str">
        <f>WBS!D115</f>
        <v>DEV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 outlineLevel="3">
      <c r="A134" s="23" t="str">
        <f>WBS!A116</f>
        <v>4.4.2.2</v>
      </c>
      <c r="B134" s="23" t="str">
        <f>WBS!B116</f>
        <v>         Xây dựng API tạo đơn hàng</v>
      </c>
      <c r="C134" s="24">
        <f>WBS!E116</f>
        <v>46254</v>
      </c>
      <c r="D134" s="24">
        <f>WBS!F116</f>
        <v>46254</v>
      </c>
      <c r="E134" s="23" t="str">
        <f>WBS!D116</f>
        <v>DEV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 outlineLevel="3">
      <c r="A135" s="23" t="str">
        <f>WBS!A117</f>
        <v>4.4.2.3</v>
      </c>
      <c r="B135" s="23" t="str">
        <f>WBS!B117</f>
        <v>         Xử lý kiểm tra tồn kho &amp; giữ hàng khi thanh toán</v>
      </c>
      <c r="C135" s="24">
        <f>WBS!E117</f>
        <v>46255</v>
      </c>
      <c r="D135" s="24">
        <f>WBS!F117</f>
        <v>46255</v>
      </c>
      <c r="E135" s="23" t="str">
        <f>WBS!D117</f>
        <v>DEV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 outlineLevel="3">
      <c r="A136" s="23" t="str">
        <f>WBS!A118</f>
        <v>4.4.2.4</v>
      </c>
      <c r="B136" s="23" t="str">
        <f>WBS!B118</f>
        <v>         Tính phí vận chuyển &amp; áp dụng mã giảm giá</v>
      </c>
      <c r="C136" s="24">
        <f>WBS!E118</f>
        <v>46258</v>
      </c>
      <c r="D136" s="24">
        <f>WBS!F118</f>
        <v>46258</v>
      </c>
      <c r="E136" s="23" t="str">
        <f>WBS!D118</f>
        <v>DEV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 outlineLevel="3">
      <c r="A137" s="23" t="str">
        <f>WBS!A119</f>
        <v>4.4.2.5</v>
      </c>
      <c r="B137" s="23" t="str">
        <f>WBS!B119</f>
        <v>         Tích hợp &amp; kiểm thử đơn vị chức năng đặt hàng</v>
      </c>
      <c r="C137" s="24">
        <f>WBS!E119</f>
        <v>46258</v>
      </c>
      <c r="D137" s="24">
        <f>WBS!F119</f>
        <v>46258</v>
      </c>
      <c r="E137" s="23" t="str">
        <f>WBS!D119</f>
        <v>DEV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 outlineLevel="2">
      <c r="A138" s="20" t="str">
        <f>WBS!A120</f>
        <v>4.4.3</v>
      </c>
      <c r="B138" s="20" t="str">
        <f>WBS!B120</f>
        <v>      Thanh toán trực tuyến</v>
      </c>
      <c r="C138" s="21">
        <f>WBS!E120</f>
        <v>46254</v>
      </c>
      <c r="D138" s="21">
        <f>WBS!F120</f>
        <v>46262</v>
      </c>
      <c r="E138" s="20" t="str">
        <f>WBS!D120</f>
        <v>DEV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 outlineLevel="3">
      <c r="A139" s="23" t="str">
        <f>WBS!A121</f>
        <v>4.4.3.1</v>
      </c>
      <c r="B139" s="23" t="str">
        <f>WBS!B121</f>
        <v>         Xây dựng UI lựa chọn phương thức thanh toán (thẻ, ví, QR, COD)</v>
      </c>
      <c r="C139" s="24">
        <f>WBS!E121</f>
        <v>46254</v>
      </c>
      <c r="D139" s="24">
        <f>WBS!F121</f>
        <v>46254</v>
      </c>
      <c r="E139" s="23" t="str">
        <f>WBS!D121</f>
        <v>DEV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 outlineLevel="3">
      <c r="A140" s="23" t="str">
        <f>WBS!A122</f>
        <v>4.4.3.2</v>
      </c>
      <c r="B140" s="23" t="str">
        <f>WBS!B122</f>
        <v>         Xây dựng API khởi tạo giao dịch với cổng thanh toán</v>
      </c>
      <c r="C140" s="24">
        <f>WBS!E122</f>
        <v>46255</v>
      </c>
      <c r="D140" s="24">
        <f>WBS!F122</f>
        <v>46255</v>
      </c>
      <c r="E140" s="23" t="str">
        <f>WBS!D122</f>
        <v>DEV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 outlineLevel="3">
      <c r="A141" s="23" t="str">
        <f>WBS!A123</f>
        <v>4.4.3.3</v>
      </c>
      <c r="B141" s="23" t="str">
        <f>WBS!B123</f>
        <v>         Xử lý callback/IPN &amp; cập nhật trạng thái thanh toán</v>
      </c>
      <c r="C141" s="24">
        <f>WBS!E123</f>
        <v>46258</v>
      </c>
      <c r="D141" s="24">
        <f>WBS!F123</f>
        <v>46258</v>
      </c>
      <c r="E141" s="23" t="str">
        <f>WBS!D123</f>
        <v>DEV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 outlineLevel="3">
      <c r="A142" s="23" t="str">
        <f>WBS!A124</f>
        <v>4.4.3.4</v>
      </c>
      <c r="B142" s="23" t="str">
        <f>WBS!B124</f>
        <v>         Xử lý giao dịch treo, timeout &amp; chống xử lý trùng (idempotency)</v>
      </c>
      <c r="C142" s="24">
        <f>WBS!E124</f>
        <v>46259</v>
      </c>
      <c r="D142" s="24">
        <f>WBS!F124</f>
        <v>46259</v>
      </c>
      <c r="E142" s="23" t="str">
        <f>WBS!D124</f>
        <v>DEV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 outlineLevel="3">
      <c r="A143" s="23" t="str">
        <f>WBS!A125</f>
        <v>4.4.3.5</v>
      </c>
      <c r="B143" s="23" t="str">
        <f>WBS!B125</f>
        <v>         Xây dựng chức năng hoàn tiền (refund)</v>
      </c>
      <c r="C143" s="24">
        <f>WBS!E125</f>
        <v>46260</v>
      </c>
      <c r="D143" s="24">
        <f>WBS!F125</f>
        <v>46260</v>
      </c>
      <c r="E143" s="23" t="str">
        <f>WBS!D125</f>
        <v>DEV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 outlineLevel="3">
      <c r="A144" s="23" t="str">
        <f>WBS!A126</f>
        <v>4.4.3.6</v>
      </c>
      <c r="B144" s="23" t="str">
        <f>WBS!B126</f>
        <v>         Xây dựng báo cáo đối soát giao dịch hằng ngày với cổng thanh toán</v>
      </c>
      <c r="C144" s="24">
        <f>WBS!E126</f>
        <v>46261</v>
      </c>
      <c r="D144" s="24">
        <f>WBS!F126</f>
        <v>46261</v>
      </c>
      <c r="E144" s="23" t="str">
        <f>WBS!D126</f>
        <v>DEV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 outlineLevel="3">
      <c r="A145" s="23" t="str">
        <f>WBS!A127</f>
        <v>4.4.3.7</v>
      </c>
      <c r="B145" s="23" t="str">
        <f>WBS!B127</f>
        <v>         Kiểm thử đơn vị luồng thanh toán trên môi trường sandbox</v>
      </c>
      <c r="C145" s="24">
        <f>WBS!E127</f>
        <v>46262</v>
      </c>
      <c r="D145" s="24">
        <f>WBS!F127</f>
        <v>46262</v>
      </c>
      <c r="E145" s="23" t="str">
        <f>WBS!D127</f>
        <v>DEV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 outlineLevel="3">
      <c r="A146" s="23" t="str">
        <f>WBS!A128</f>
        <v>4.4.3.8</v>
      </c>
      <c r="B146" s="23" t="str">
        <f>WBS!B128</f>
        <v>         Rà soát kỹ thuật &amp; bảo mật luồng thanh toán</v>
      </c>
      <c r="C146" s="24">
        <f>WBS!E128</f>
        <v>46262</v>
      </c>
      <c r="D146" s="24">
        <f>WBS!F128</f>
        <v>46262</v>
      </c>
      <c r="E146" s="23" t="str">
        <f>WBS!D128</f>
        <v>SA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 outlineLevel="2">
      <c r="A147" s="20" t="str">
        <f>WBS!A129</f>
        <v>4.4.4</v>
      </c>
      <c r="B147" s="20" t="str">
        <f>WBS!B129</f>
        <v>      Theo dõi &amp; hủy đơn hàng</v>
      </c>
      <c r="C147" s="21">
        <f>WBS!E129</f>
        <v>46259</v>
      </c>
      <c r="D147" s="21">
        <f>WBS!F129</f>
        <v>46262</v>
      </c>
      <c r="E147" s="20" t="str">
        <f>WBS!D129</f>
        <v>DEV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 outlineLevel="3">
      <c r="A148" s="23" t="str">
        <f>WBS!A130</f>
        <v>4.4.4.1</v>
      </c>
      <c r="B148" s="23" t="str">
        <f>WBS!B130</f>
        <v>         Xây dựng UI theo dõi trạng thái đơn &amp; hủy đơn</v>
      </c>
      <c r="C148" s="24">
        <f>WBS!E130</f>
        <v>46259</v>
      </c>
      <c r="D148" s="24">
        <f>WBS!F130</f>
        <v>46259</v>
      </c>
      <c r="E148" s="23" t="str">
        <f>WBS!D130</f>
        <v>DEV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 outlineLevel="3">
      <c r="A149" s="23" t="str">
        <f>WBS!A131</f>
        <v>4.4.4.2</v>
      </c>
      <c r="B149" s="23" t="str">
        <f>WBS!B131</f>
        <v>         Xây dựng API tra cứu trạng thái đơn hàng</v>
      </c>
      <c r="C149" s="24">
        <f>WBS!E131</f>
        <v>46260</v>
      </c>
      <c r="D149" s="24">
        <f>WBS!F131</f>
        <v>46260</v>
      </c>
      <c r="E149" s="23" t="str">
        <f>WBS!D131</f>
        <v>DEV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 outlineLevel="3">
      <c r="A150" s="23" t="str">
        <f>WBS!A132</f>
        <v>4.4.4.3</v>
      </c>
      <c r="B150" s="23" t="str">
        <f>WBS!B132</f>
        <v>         Xây dựng API hủy đơn kèm hoàn tồn kho &amp; khởi tạo hoàn tiền</v>
      </c>
      <c r="C150" s="24">
        <f>WBS!E132</f>
        <v>46261</v>
      </c>
      <c r="D150" s="24">
        <f>WBS!F132</f>
        <v>46261</v>
      </c>
      <c r="E150" s="23" t="str">
        <f>WBS!D132</f>
        <v>DEV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 outlineLevel="3">
      <c r="A151" s="23" t="str">
        <f>WBS!A133</f>
        <v>4.4.4.4</v>
      </c>
      <c r="B151" s="23" t="str">
        <f>WBS!B133</f>
        <v>         Tích hợp &amp; kiểm thử đơn vị</v>
      </c>
      <c r="C151" s="24">
        <f>WBS!E133</f>
        <v>46262</v>
      </c>
      <c r="D151" s="24">
        <f>WBS!F133</f>
        <v>46262</v>
      </c>
      <c r="E151" s="23" t="str">
        <f>WBS!D133</f>
        <v>DEV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 outlineLevel="2">
      <c r="A152" s="20" t="str">
        <f t="shared" ref="A152:E152" si="14">#REF!</f>
        <v>#REF!</v>
      </c>
      <c r="B152" s="20" t="str">
        <f t="shared" si="14"/>
        <v>#REF!</v>
      </c>
      <c r="C152" s="21" t="str">
        <f t="shared" si="14"/>
        <v>#REF!</v>
      </c>
      <c r="D152" s="21" t="str">
        <f t="shared" si="14"/>
        <v>#REF!</v>
      </c>
      <c r="E152" s="20" t="str">
        <f t="shared" si="14"/>
        <v>#REF!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 outlineLevel="3">
      <c r="A153" s="23" t="str">
        <f t="shared" ref="A153:E153" si="15">#REF!</f>
        <v>#REF!</v>
      </c>
      <c r="B153" s="23" t="str">
        <f t="shared" si="15"/>
        <v>#REF!</v>
      </c>
      <c r="C153" s="24" t="str">
        <f t="shared" si="15"/>
        <v>#REF!</v>
      </c>
      <c r="D153" s="24" t="str">
        <f t="shared" si="15"/>
        <v>#REF!</v>
      </c>
      <c r="E153" s="23" t="str">
        <f t="shared" si="15"/>
        <v>#REF!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 outlineLevel="3">
      <c r="A154" s="23" t="str">
        <f t="shared" ref="A154:E154" si="16">#REF!</f>
        <v>#REF!</v>
      </c>
      <c r="B154" s="23" t="str">
        <f t="shared" si="16"/>
        <v>#REF!</v>
      </c>
      <c r="C154" s="24" t="str">
        <f t="shared" si="16"/>
        <v>#REF!</v>
      </c>
      <c r="D154" s="24" t="str">
        <f t="shared" si="16"/>
        <v>#REF!</v>
      </c>
      <c r="E154" s="23" t="str">
        <f t="shared" si="16"/>
        <v>#REF!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 outlineLevel="3">
      <c r="A155" s="23" t="str">
        <f t="shared" ref="A155:E155" si="17">#REF!</f>
        <v>#REF!</v>
      </c>
      <c r="B155" s="23" t="str">
        <f t="shared" si="17"/>
        <v>#REF!</v>
      </c>
      <c r="C155" s="24" t="str">
        <f t="shared" si="17"/>
        <v>#REF!</v>
      </c>
      <c r="D155" s="24" t="str">
        <f t="shared" si="17"/>
        <v>#REF!</v>
      </c>
      <c r="E155" s="23" t="str">
        <f t="shared" si="17"/>
        <v>#REF!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 outlineLevel="1">
      <c r="A156" s="20" t="str">
        <f>WBS!A134</f>
        <v>4.5</v>
      </c>
      <c r="B156" s="20" t="str">
        <f>WBS!B134</f>
        <v>   Tích hợp hệ thống</v>
      </c>
      <c r="C156" s="21">
        <f>WBS!E134</f>
        <v>46255</v>
      </c>
      <c r="D156" s="21">
        <f>WBS!F134</f>
        <v>46274</v>
      </c>
      <c r="E156" s="20" t="str">
        <f>WBS!D134</f>
        <v>DEV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 outlineLevel="2">
      <c r="A157" s="20" t="str">
        <f>WBS!A135</f>
        <v>4.5.1</v>
      </c>
      <c r="B157" s="20" t="str">
        <f>WBS!B135</f>
        <v>      Đồng bộ danh mục, giá &amp; khuyến mại</v>
      </c>
      <c r="C157" s="21">
        <f>WBS!E135</f>
        <v>46255</v>
      </c>
      <c r="D157" s="21">
        <f>WBS!F135</f>
        <v>46259</v>
      </c>
      <c r="E157" s="20" t="str">
        <f>WBS!D135</f>
        <v>DEV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 outlineLevel="3">
      <c r="A158" s="23" t="str">
        <f>WBS!A136</f>
        <v>4.5.1.1</v>
      </c>
      <c r="B158" s="23" t="str">
        <f>WBS!B136</f>
        <v>         Xây dựng adapter đồng bộ danh mục, giá, khuyến mại</v>
      </c>
      <c r="C158" s="24">
        <f>WBS!E136</f>
        <v>46255</v>
      </c>
      <c r="D158" s="24">
        <f>WBS!F136</f>
        <v>46255</v>
      </c>
      <c r="E158" s="23" t="str">
        <f>WBS!D136</f>
        <v>DEV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 outlineLevel="3">
      <c r="A159" s="23" t="str">
        <f>WBS!A137</f>
        <v>4.5.1.2</v>
      </c>
      <c r="B159" s="23" t="str">
        <f>WBS!B137</f>
        <v>         Cấu hình lịch chạy &amp; nhật ký đồng bộ</v>
      </c>
      <c r="C159" s="24">
        <f>WBS!E137</f>
        <v>46258</v>
      </c>
      <c r="D159" s="24">
        <f>WBS!F137</f>
        <v>46258</v>
      </c>
      <c r="E159" s="23" t="str">
        <f>WBS!D137</f>
        <v>DEV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 outlineLevel="3">
      <c r="A160" s="23" t="str">
        <f>WBS!A138</f>
        <v>4.5.1.3</v>
      </c>
      <c r="B160" s="23" t="str">
        <f>WBS!B138</f>
        <v>         Kiểm thử đơn vị luồng đồng bộ sản phẩm</v>
      </c>
      <c r="C160" s="24">
        <f>WBS!E138</f>
        <v>46259</v>
      </c>
      <c r="D160" s="24">
        <f>WBS!F138</f>
        <v>46259</v>
      </c>
      <c r="E160" s="23" t="str">
        <f>WBS!D138</f>
        <v>DEV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 outlineLevel="2">
      <c r="A161" s="20" t="str">
        <f>WBS!A139</f>
        <v>4.5.2</v>
      </c>
      <c r="B161" s="20" t="str">
        <f>WBS!B139</f>
        <v>      Đồng bộ tồn kho (chu kỳ ≤ 15 phút)</v>
      </c>
      <c r="C161" s="21">
        <f>WBS!E139</f>
        <v>46265</v>
      </c>
      <c r="D161" s="21">
        <f>WBS!F139</f>
        <v>46272</v>
      </c>
      <c r="E161" s="20" t="str">
        <f>WBS!D139</f>
        <v>DEV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 outlineLevel="3">
      <c r="A162" s="23" t="str">
        <f>WBS!A140</f>
        <v>4.5.2.1</v>
      </c>
      <c r="B162" s="23" t="str">
        <f>WBS!B140</f>
        <v>         Xây dựng adapter đồng bộ tồn kho từ Main System</v>
      </c>
      <c r="C162" s="24">
        <f>WBS!E140</f>
        <v>46265</v>
      </c>
      <c r="D162" s="24">
        <f>WBS!F140</f>
        <v>46268</v>
      </c>
      <c r="E162" s="23" t="str">
        <f>WBS!D140</f>
        <v>DEV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 outlineLevel="3">
      <c r="A163" s="23" t="str">
        <f>WBS!A141</f>
        <v>4.5.2.2</v>
      </c>
      <c r="B163" s="23" t="str">
        <f>WBS!B141</f>
        <v>         Xử lý lệch tồn kho &amp; cảnh báo</v>
      </c>
      <c r="C163" s="24">
        <f>WBS!E141</f>
        <v>46269</v>
      </c>
      <c r="D163" s="24">
        <f>WBS!F141</f>
        <v>46269</v>
      </c>
      <c r="E163" s="23" t="str">
        <f>WBS!D141</f>
        <v>DEV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 outlineLevel="3">
      <c r="A164" s="23" t="str">
        <f>WBS!A142</f>
        <v>4.5.2.3</v>
      </c>
      <c r="B164" s="23" t="str">
        <f>WBS!B142</f>
        <v>         Kiểm thử đơn vị luồng đồng bộ tồn kho</v>
      </c>
      <c r="C164" s="24">
        <f>WBS!E142</f>
        <v>46272</v>
      </c>
      <c r="D164" s="24">
        <f>WBS!F142</f>
        <v>46272</v>
      </c>
      <c r="E164" s="23" t="str">
        <f>WBS!D142</f>
        <v>DEV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 outlineLevel="2">
      <c r="A165" s="20" t="str">
        <f>WBS!A143</f>
        <v>4.5.3</v>
      </c>
      <c r="B165" s="20" t="str">
        <f>WBS!B143</f>
        <v>      Đẩy đơn hàng sang Main System</v>
      </c>
      <c r="C165" s="21">
        <f>WBS!E143</f>
        <v>46265</v>
      </c>
      <c r="D165" s="21">
        <f>WBS!F143</f>
        <v>46272</v>
      </c>
      <c r="E165" s="20" t="str">
        <f>WBS!D143</f>
        <v>DEV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 outlineLevel="3">
      <c r="A166" s="23" t="str">
        <f>WBS!A144</f>
        <v>4.5.3.1</v>
      </c>
      <c r="B166" s="23" t="str">
        <f>WBS!B144</f>
        <v>         Xây dựng hàng đợi &amp; adapter đẩy đơn hàng</v>
      </c>
      <c r="C166" s="24">
        <f>WBS!E144</f>
        <v>46265</v>
      </c>
      <c r="D166" s="24">
        <f>WBS!F144</f>
        <v>46268</v>
      </c>
      <c r="E166" s="23" t="str">
        <f>WBS!D144</f>
        <v>DEV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 outlineLevel="3">
      <c r="A167" s="23" t="str">
        <f>WBS!A145</f>
        <v>4.5.3.2</v>
      </c>
      <c r="B167" s="23" t="str">
        <f>WBS!B145</f>
        <v>         Cơ chế thử lại (retry), hàng đợi lỗi &amp; chống trùng</v>
      </c>
      <c r="C167" s="24">
        <f>WBS!E145</f>
        <v>46269</v>
      </c>
      <c r="D167" s="24">
        <f>WBS!F145</f>
        <v>46269</v>
      </c>
      <c r="E167" s="23" t="str">
        <f>WBS!D145</f>
        <v>DEV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 outlineLevel="3">
      <c r="A168" s="23" t="str">
        <f>WBS!A146</f>
        <v>4.5.3.3</v>
      </c>
      <c r="B168" s="23" t="str">
        <f>WBS!B146</f>
        <v>         Kiểm thử đơn vị luồng đẩy đơn hàng</v>
      </c>
      <c r="C168" s="24">
        <f>WBS!E146</f>
        <v>46272</v>
      </c>
      <c r="D168" s="24">
        <f>WBS!F146</f>
        <v>46272</v>
      </c>
      <c r="E168" s="23" t="str">
        <f>WBS!D146</f>
        <v>DEV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 outlineLevel="2">
      <c r="A169" s="20" t="str">
        <f>WBS!A147</f>
        <v>4.5.4</v>
      </c>
      <c r="B169" s="20" t="str">
        <f>WBS!B147</f>
        <v>      Nhận trạng thái xử lý &amp; giao hàng</v>
      </c>
      <c r="C169" s="21">
        <f>WBS!E147</f>
        <v>46268</v>
      </c>
      <c r="D169" s="21">
        <f>WBS!F147</f>
        <v>46273</v>
      </c>
      <c r="E169" s="20" t="str">
        <f>WBS!D147</f>
        <v>DEV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 outlineLevel="3">
      <c r="A170" s="23" t="str">
        <f>WBS!A148</f>
        <v>4.5.4.1</v>
      </c>
      <c r="B170" s="23" t="str">
        <f>WBS!B148</f>
        <v>         Xây dựng adapter nhận trạng thái từ Main System / vận chuyển</v>
      </c>
      <c r="C170" s="24">
        <f>WBS!E148</f>
        <v>46268</v>
      </c>
      <c r="D170" s="24">
        <f>WBS!F148</f>
        <v>46269</v>
      </c>
      <c r="E170" s="23" t="str">
        <f>WBS!D148</f>
        <v>DEV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 outlineLevel="3">
      <c r="A171" s="23" t="str">
        <f>WBS!A149</f>
        <v>4.5.4.2</v>
      </c>
      <c r="B171" s="23" t="str">
        <f>WBS!B149</f>
        <v>         Cập nhật trạng thái đơn &amp; thông báo khách hàng</v>
      </c>
      <c r="C171" s="24">
        <f>WBS!E149</f>
        <v>46272</v>
      </c>
      <c r="D171" s="24">
        <f>WBS!F149</f>
        <v>46272</v>
      </c>
      <c r="E171" s="23" t="str">
        <f>WBS!D149</f>
        <v>DEV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 outlineLevel="3">
      <c r="A172" s="23" t="str">
        <f>WBS!A150</f>
        <v>4.5.4.3</v>
      </c>
      <c r="B172" s="23" t="str">
        <f>WBS!B150</f>
        <v>         Kiểm thử đơn vị luồng trạng thái</v>
      </c>
      <c r="C172" s="24">
        <f>WBS!E150</f>
        <v>46273</v>
      </c>
      <c r="D172" s="24">
        <f>WBS!F150</f>
        <v>46273</v>
      </c>
      <c r="E172" s="23" t="str">
        <f>WBS!D150</f>
        <v>DEV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 outlineLevel="2">
      <c r="A173" s="20" t="str">
        <f>WBS!A151</f>
        <v>4.5.5</v>
      </c>
      <c r="B173" s="20" t="str">
        <f>WBS!B151</f>
        <v>      Đồng bộ dữ liệu khách hàng</v>
      </c>
      <c r="C173" s="21">
        <f>WBS!E151</f>
        <v>46269</v>
      </c>
      <c r="D173" s="21">
        <f>WBS!F151</f>
        <v>46273</v>
      </c>
      <c r="E173" s="20" t="str">
        <f>WBS!D151</f>
        <v>DEV</v>
      </c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 outlineLevel="3">
      <c r="A174" s="23" t="str">
        <f>WBS!A152</f>
        <v>4.5.5.1</v>
      </c>
      <c r="B174" s="23" t="str">
        <f>WBS!B152</f>
        <v>         Xây dựng adapter đồng bộ dữ liệu khách hàng</v>
      </c>
      <c r="C174" s="24">
        <f>WBS!E152</f>
        <v>46269</v>
      </c>
      <c r="D174" s="24">
        <f>WBS!F152</f>
        <v>46269</v>
      </c>
      <c r="E174" s="23" t="str">
        <f>WBS!D152</f>
        <v>DEV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 outlineLevel="3">
      <c r="A175" s="23" t="str">
        <f>WBS!A153</f>
        <v>4.5.5.2</v>
      </c>
      <c r="B175" s="23" t="str">
        <f>WBS!B153</f>
        <v>         Kiểm thử đơn vị luồng đồng bộ khách hàng</v>
      </c>
      <c r="C175" s="24">
        <f>WBS!E153</f>
        <v>46273</v>
      </c>
      <c r="D175" s="24">
        <f>WBS!F153</f>
        <v>46273</v>
      </c>
      <c r="E175" s="23" t="str">
        <f>WBS!D153</f>
        <v>DEV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 outlineLevel="2">
      <c r="A176" s="23" t="str">
        <f>WBS!A154</f>
        <v>4.5.6</v>
      </c>
      <c r="B176" s="23" t="str">
        <f>WBS!B154</f>
        <v>      Báo cáo đối soát hằng ngày &amp; cảnh báo lệch dữ liệu</v>
      </c>
      <c r="C176" s="24">
        <f>WBS!E154</f>
        <v>46273</v>
      </c>
      <c r="D176" s="24">
        <f>WBS!F154</f>
        <v>46274</v>
      </c>
      <c r="E176" s="23" t="str">
        <f>WBS!D154</f>
        <v>DEV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 outlineLevel="2">
      <c r="A177" s="23" t="str">
        <f>WBS!A155</f>
        <v>4.5.7</v>
      </c>
      <c r="B177" s="23" t="str">
        <f>WBS!B155</f>
        <v>      Kiểm thử kết nối thật với đội IT Main System</v>
      </c>
      <c r="C177" s="24">
        <f>WBS!E155</f>
        <v>46274</v>
      </c>
      <c r="D177" s="24">
        <f>WBS!F155</f>
        <v>46274</v>
      </c>
      <c r="E177" s="23" t="str">
        <f>WBS!D155</f>
        <v>SA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 outlineLevel="1">
      <c r="A178" s="20" t="str">
        <f>WBS!A156</f>
        <v>4.6</v>
      </c>
      <c r="B178" s="20" t="str">
        <f>WBS!B156</f>
        <v>   Kiểm soát chất lượng mã nguồn &amp; phát hành</v>
      </c>
      <c r="C178" s="21">
        <f>WBS!E156</f>
        <v>46237</v>
      </c>
      <c r="D178" s="21">
        <f>WBS!F156</f>
        <v>46276</v>
      </c>
      <c r="E178" s="20" t="str">
        <f>WBS!D156</f>
        <v>SA</v>
      </c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 outlineLevel="2">
      <c r="A179" s="23" t="str">
        <f>WBS!A157</f>
        <v>4.6.1</v>
      </c>
      <c r="B179" s="23" t="str">
        <f>WBS!B157</f>
        <v>      Code review theo pull request</v>
      </c>
      <c r="C179" s="24">
        <f>WBS!E157</f>
        <v>46517</v>
      </c>
      <c r="D179" s="24">
        <f>WBS!F157</f>
        <v>46542</v>
      </c>
      <c r="E179" s="23" t="str">
        <f>WBS!D157</f>
        <v>SA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 outlineLevel="2">
      <c r="A180" s="23" t="str">
        <f>WBS!A158</f>
        <v>4.6.2</v>
      </c>
      <c r="B180" s="23" t="str">
        <f>WBS!B158</f>
        <v>      Phân tích mã nguồn tĩnh (SAST) &amp; khắc phục</v>
      </c>
      <c r="C180" s="24">
        <f>WBS!E158</f>
        <v>46531</v>
      </c>
      <c r="D180" s="24">
        <f>WBS!F158</f>
        <v>46541</v>
      </c>
      <c r="E180" s="23" t="str">
        <f>WBS!D158</f>
        <v>DEV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 outlineLevel="2">
      <c r="A181" s="23" t="str">
        <f>WBS!A159</f>
        <v>4.6.3</v>
      </c>
      <c r="B181" s="23" t="str">
        <f>WBS!B159</f>
        <v>      Đóng gói bản build &amp; ghi chú phát hành (M3)</v>
      </c>
      <c r="C181" s="24">
        <f>WBS!E159</f>
        <v>46541</v>
      </c>
      <c r="D181" s="24">
        <f>WBS!F159</f>
        <v>46542</v>
      </c>
      <c r="E181" s="23" t="str">
        <f>WBS!D159</f>
        <v>DEV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0" t="str">
        <f>WBS!A160</f>
        <v>5</v>
      </c>
      <c r="B182" s="20" t="str">
        <f>WBS!B160</f>
        <v>Kiểm thử (Testing)</v>
      </c>
      <c r="C182" s="21">
        <f>WBS!E160</f>
        <v>46245</v>
      </c>
      <c r="D182" s="21">
        <f>WBS!F160</f>
        <v>46290</v>
      </c>
      <c r="E182" s="20" t="str">
        <f>WBS!D160</f>
        <v>QA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 outlineLevel="1">
      <c r="A183" s="20" t="str">
        <f>WBS!A161</f>
        <v>5.1</v>
      </c>
      <c r="B183" s="20" t="str">
        <f>WBS!B161</f>
        <v>   Chuẩn bị kiểm thử</v>
      </c>
      <c r="C183" s="21">
        <f>WBS!E161</f>
        <v>46245</v>
      </c>
      <c r="D183" s="21">
        <f>WBS!F161</f>
        <v>46255</v>
      </c>
      <c r="E183" s="20" t="str">
        <f>WBS!D161</f>
        <v>QA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 outlineLevel="2">
      <c r="A184" s="23" t="str">
        <f>WBS!A162</f>
        <v>5.1.1</v>
      </c>
      <c r="B184" s="23" t="str">
        <f>WBS!B162</f>
        <v>      Lập kế hoạch kiểm thử tổng thể</v>
      </c>
      <c r="C184" s="24">
        <f>WBS!E162</f>
        <v>46245</v>
      </c>
      <c r="D184" s="24">
        <f>WBS!F162</f>
        <v>46246</v>
      </c>
      <c r="E184" s="23" t="str">
        <f>WBS!D162</f>
        <v>QA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 outlineLevel="2">
      <c r="A185" s="23" t="str">
        <f>WBS!A163</f>
        <v>5.1.2</v>
      </c>
      <c r="B185" s="23" t="str">
        <f>WBS!B163</f>
        <v>      Viết test case – Quản lý sản phẩm</v>
      </c>
      <c r="C185" s="24">
        <f>WBS!E163</f>
        <v>46246</v>
      </c>
      <c r="D185" s="24">
        <f>WBS!F163</f>
        <v>46251</v>
      </c>
      <c r="E185" s="23" t="str">
        <f>WBS!D163</f>
        <v>QA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 outlineLevel="2">
      <c r="A186" s="23" t="str">
        <f>WBS!A164</f>
        <v>5.1.3</v>
      </c>
      <c r="B186" s="23" t="str">
        <f>WBS!B164</f>
        <v>      Viết test case – Quản lý đơn hàng &amp; thanh toán</v>
      </c>
      <c r="C186" s="24">
        <f>WBS!E164</f>
        <v>46248</v>
      </c>
      <c r="D186" s="24">
        <f>WBS!F164</f>
        <v>46254</v>
      </c>
      <c r="E186" s="23" t="str">
        <f>WBS!D164</f>
        <v>QA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 outlineLevel="2">
      <c r="A187" s="23" t="str">
        <f>WBS!A165</f>
        <v>5.1.4</v>
      </c>
      <c r="B187" s="23" t="str">
        <f>WBS!B165</f>
        <v>      Viết test case – Quản lý khách hàng</v>
      </c>
      <c r="C187" s="24">
        <f>WBS!E165</f>
        <v>46246</v>
      </c>
      <c r="D187" s="24">
        <f>WBS!F165</f>
        <v>46251</v>
      </c>
      <c r="E187" s="23" t="str">
        <f>WBS!D165</f>
        <v>QA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 outlineLevel="2">
      <c r="A188" s="23" t="str">
        <f>WBS!A166</f>
        <v>5.1.5</v>
      </c>
      <c r="B188" s="23" t="str">
        <f>WBS!B166</f>
        <v>      Viết test case – Tích hợp hệ thống &amp; đối soát</v>
      </c>
      <c r="C188" s="24">
        <f>WBS!E166</f>
        <v>46252</v>
      </c>
      <c r="D188" s="24">
        <f>WBS!F166</f>
        <v>46255</v>
      </c>
      <c r="E188" s="23" t="str">
        <f>WBS!D166</f>
        <v>QA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 outlineLevel="2">
      <c r="A189" s="23" t="str">
        <f>WBS!A167</f>
        <v>5.1.6</v>
      </c>
      <c r="B189" s="23" t="str">
        <f>WBS!B167</f>
        <v>      Chuẩn bị dữ liệu &amp; môi trường kiểm thử</v>
      </c>
      <c r="C189" s="24">
        <f>WBS!E167</f>
        <v>46252</v>
      </c>
      <c r="D189" s="24">
        <f>WBS!F167</f>
        <v>46253</v>
      </c>
      <c r="E189" s="23" t="str">
        <f>WBS!D167</f>
        <v>QA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 outlineLevel="2">
      <c r="A190" s="23" t="str">
        <f t="shared" ref="A190:E190" si="18">#REF!</f>
        <v>#REF!</v>
      </c>
      <c r="B190" s="23" t="str">
        <f t="shared" si="18"/>
        <v>#REF!</v>
      </c>
      <c r="C190" s="24" t="str">
        <f t="shared" si="18"/>
        <v>#REF!</v>
      </c>
      <c r="D190" s="24" t="str">
        <f t="shared" si="18"/>
        <v>#REF!</v>
      </c>
      <c r="E190" s="23" t="str">
        <f t="shared" si="18"/>
        <v>#REF!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 outlineLevel="1">
      <c r="A191" s="20" t="str">
        <f>WBS!A168</f>
        <v>5.2</v>
      </c>
      <c r="B191" s="20" t="str">
        <f>WBS!B168</f>
        <v>   Kiểm thử tích hợp hệ thống (SIT)</v>
      </c>
      <c r="C191" s="21">
        <f>WBS!E168</f>
        <v>46279</v>
      </c>
      <c r="D191" s="21">
        <f>WBS!F168</f>
        <v>46286</v>
      </c>
      <c r="E191" s="20" t="str">
        <f>WBS!D168</f>
        <v>QA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 outlineLevel="2">
      <c r="A192" s="23" t="str">
        <f>WBS!A169</f>
        <v>5.2.1</v>
      </c>
      <c r="B192" s="23" t="str">
        <f>WBS!B169</f>
        <v>      SIT – Quản lý sản phẩm</v>
      </c>
      <c r="C192" s="24">
        <f>WBS!E169</f>
        <v>46279</v>
      </c>
      <c r="D192" s="24">
        <f>WBS!F169</f>
        <v>46280</v>
      </c>
      <c r="E192" s="23" t="str">
        <f>WBS!D169</f>
        <v>QA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 outlineLevel="2">
      <c r="A193" s="23" t="str">
        <f>WBS!A170</f>
        <v>5.2.2</v>
      </c>
      <c r="B193" s="23" t="str">
        <f>WBS!B170</f>
        <v>      SIT – Quản lý khách hàng</v>
      </c>
      <c r="C193" s="24">
        <f>WBS!E170</f>
        <v>46279</v>
      </c>
      <c r="D193" s="24">
        <f>WBS!F170</f>
        <v>46280</v>
      </c>
      <c r="E193" s="23" t="str">
        <f>WBS!D170</f>
        <v>QA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 outlineLevel="2">
      <c r="A194" s="23" t="str">
        <f>WBS!A171</f>
        <v>5.2.3</v>
      </c>
      <c r="B194" s="23" t="str">
        <f>WBS!B171</f>
        <v>      SIT – Quản lý đơn hàng &amp; thanh toán</v>
      </c>
      <c r="C194" s="24">
        <f>WBS!E171</f>
        <v>46283</v>
      </c>
      <c r="D194" s="24">
        <f>WBS!F171</f>
        <v>46286</v>
      </c>
      <c r="E194" s="23" t="str">
        <f>WBS!D171</f>
        <v>QA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 outlineLevel="2">
      <c r="A195" s="23" t="str">
        <f>WBS!A172</f>
        <v>5.2.4</v>
      </c>
      <c r="B195" s="23" t="str">
        <f>WBS!B172</f>
        <v>      SIT – Tích hợp hệ thống &amp; đối soát dữ liệu</v>
      </c>
      <c r="C195" s="24">
        <f>WBS!E172</f>
        <v>46282</v>
      </c>
      <c r="D195" s="24">
        <f>WBS!F172</f>
        <v>46283</v>
      </c>
      <c r="E195" s="23" t="str">
        <f>WBS!D172</f>
        <v>QA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 outlineLevel="2">
      <c r="A196" s="23" t="str">
        <f>WBS!A173</f>
        <v>5.2.5</v>
      </c>
      <c r="B196" s="23" t="str">
        <f>WBS!B173</f>
        <v>      SIT luồng đầu–cuối (đặt hàng → thanh toán → giao hàng)</v>
      </c>
      <c r="C196" s="24">
        <f>WBS!E173</f>
        <v>46286</v>
      </c>
      <c r="D196" s="24">
        <f>WBS!F173</f>
        <v>46286</v>
      </c>
      <c r="E196" s="23" t="str">
        <f>WBS!D173</f>
        <v>QA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 outlineLevel="1">
      <c r="A197" s="20" t="str">
        <f>WBS!A174</f>
        <v>5.3</v>
      </c>
      <c r="B197" s="20" t="str">
        <f>WBS!B174</f>
        <v>   Kiểm thử hiệu năng</v>
      </c>
      <c r="C197" s="21">
        <f>WBS!E174</f>
        <v>46279</v>
      </c>
      <c r="D197" s="21">
        <f>WBS!F174</f>
        <v>46287</v>
      </c>
      <c r="E197" s="20" t="str">
        <f>WBS!D174</f>
        <v>QA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 outlineLevel="2">
      <c r="A198" s="23" t="str">
        <f>WBS!A175</f>
        <v>5.3.1</v>
      </c>
      <c r="B198" s="23" t="str">
        <f>WBS!B175</f>
        <v>      Chuẩn bị kịch bản &amp; công cụ kiểm thử hiệu năng</v>
      </c>
      <c r="C198" s="24">
        <f>WBS!E175</f>
        <v>46279</v>
      </c>
      <c r="D198" s="24">
        <f>WBS!F175</f>
        <v>46279</v>
      </c>
      <c r="E198" s="23" t="str">
        <f>WBS!D175</f>
        <v>QA</v>
      </c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 outlineLevel="2">
      <c r="A199" s="23" t="str">
        <f>WBS!A176</f>
        <v>5.3.2</v>
      </c>
      <c r="B199" s="23" t="str">
        <f>WBS!B176</f>
        <v>      Thực hiện kiểm thử</v>
      </c>
      <c r="C199" s="24">
        <f>WBS!E176</f>
        <v>46283</v>
      </c>
      <c r="D199" s="24">
        <f>WBS!F176</f>
        <v>46286</v>
      </c>
      <c r="E199" s="23" t="str">
        <f>WBS!D176</f>
        <v>QA</v>
      </c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 outlineLevel="2">
      <c r="A200" s="23" t="str">
        <f t="shared" ref="A200:E200" si="19">#REF!</f>
        <v>#REF!</v>
      </c>
      <c r="B200" s="23" t="str">
        <f t="shared" si="19"/>
        <v>#REF!</v>
      </c>
      <c r="C200" s="24" t="str">
        <f t="shared" si="19"/>
        <v>#REF!</v>
      </c>
      <c r="D200" s="24" t="str">
        <f t="shared" si="19"/>
        <v>#REF!</v>
      </c>
      <c r="E200" s="23" t="str">
        <f t="shared" si="19"/>
        <v>#REF!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 outlineLevel="2">
      <c r="A201" s="23" t="str">
        <f t="shared" ref="A201:E201" si="20">#REF!</f>
        <v>#REF!</v>
      </c>
      <c r="B201" s="23" t="str">
        <f t="shared" si="20"/>
        <v>#REF!</v>
      </c>
      <c r="C201" s="24" t="str">
        <f t="shared" si="20"/>
        <v>#REF!</v>
      </c>
      <c r="D201" s="24" t="str">
        <f t="shared" si="20"/>
        <v>#REF!</v>
      </c>
      <c r="E201" s="23" t="str">
        <f t="shared" si="20"/>
        <v>#REF!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 outlineLevel="2">
      <c r="A202" s="23" t="str">
        <f>WBS!A177</f>
        <v>5.3.3</v>
      </c>
      <c r="B202" s="23" t="str">
        <f>WBS!B177</f>
        <v>      Lập báo cáo kiểm thử hiệu năng (P95 ≤ 2 giây)</v>
      </c>
      <c r="C202" s="24">
        <f>WBS!E177</f>
        <v>46287</v>
      </c>
      <c r="D202" s="24">
        <f>WBS!F177</f>
        <v>46287</v>
      </c>
      <c r="E202" s="23" t="str">
        <f>WBS!D177</f>
        <v>QA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 outlineLevel="1">
      <c r="A203" s="20" t="str">
        <f>WBS!A178</f>
        <v>5.4</v>
      </c>
      <c r="B203" s="20" t="str">
        <f>WBS!B178</f>
        <v>   Kiểm thử an toàn bảo mật (ATTT, OWASP)</v>
      </c>
      <c r="C203" s="21">
        <f>WBS!E178</f>
        <v>46283</v>
      </c>
      <c r="D203" s="21">
        <f>WBS!F178</f>
        <v>46287</v>
      </c>
      <c r="E203" s="20" t="str">
        <f>WBS!D178</f>
        <v>QA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 outlineLevel="2">
      <c r="A204" s="23" t="str">
        <f t="shared" ref="A204:E204" si="21">#REF!</f>
        <v>#REF!</v>
      </c>
      <c r="B204" s="23" t="str">
        <f t="shared" si="21"/>
        <v>#REF!</v>
      </c>
      <c r="C204" s="24" t="str">
        <f t="shared" si="21"/>
        <v>#REF!</v>
      </c>
      <c r="D204" s="24" t="str">
        <f t="shared" si="21"/>
        <v>#REF!</v>
      </c>
      <c r="E204" s="23" t="str">
        <f t="shared" si="21"/>
        <v>#REF!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 outlineLevel="2">
      <c r="A205" s="23" t="str">
        <f t="shared" ref="A205:E205" si="22">#REF!</f>
        <v>#REF!</v>
      </c>
      <c r="B205" s="23" t="str">
        <f t="shared" si="22"/>
        <v>#REF!</v>
      </c>
      <c r="C205" s="24" t="str">
        <f t="shared" si="22"/>
        <v>#REF!</v>
      </c>
      <c r="D205" s="24" t="str">
        <f t="shared" si="22"/>
        <v>#REF!</v>
      </c>
      <c r="E205" s="23" t="str">
        <f t="shared" si="22"/>
        <v>#REF!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 outlineLevel="2">
      <c r="A206" s="23" t="str">
        <f t="shared" ref="A206:E206" si="23">#REF!</f>
        <v>#REF!</v>
      </c>
      <c r="B206" s="23" t="str">
        <f t="shared" si="23"/>
        <v>#REF!</v>
      </c>
      <c r="C206" s="24" t="str">
        <f t="shared" si="23"/>
        <v>#REF!</v>
      </c>
      <c r="D206" s="24" t="str">
        <f t="shared" si="23"/>
        <v>#REF!</v>
      </c>
      <c r="E206" s="23" t="str">
        <f t="shared" si="23"/>
        <v>#REF!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 outlineLevel="2">
      <c r="A207" s="23" t="str">
        <f t="shared" ref="A207:E207" si="24">#REF!</f>
        <v>#REF!</v>
      </c>
      <c r="B207" s="23" t="str">
        <f t="shared" si="24"/>
        <v>#REF!</v>
      </c>
      <c r="C207" s="24" t="str">
        <f t="shared" si="24"/>
        <v>#REF!</v>
      </c>
      <c r="D207" s="24" t="str">
        <f t="shared" si="24"/>
        <v>#REF!</v>
      </c>
      <c r="E207" s="23" t="str">
        <f t="shared" si="24"/>
        <v>#REF!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 outlineLevel="1">
      <c r="A208" s="20" t="str">
        <f>WBS!A179</f>
        <v>5.5</v>
      </c>
      <c r="B208" s="20" t="str">
        <f>WBS!B179</f>
        <v>   Sửa lỗi &amp; kiểm thử hồi quy</v>
      </c>
      <c r="C208" s="21">
        <f>WBS!E179</f>
        <v>46279</v>
      </c>
      <c r="D208" s="21">
        <f>WBS!F179</f>
        <v>46290</v>
      </c>
      <c r="E208" s="20" t="str">
        <f>WBS!D179</f>
        <v>DEV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 outlineLevel="2">
      <c r="A209" s="23" t="str">
        <f>WBS!A180</f>
        <v>5.5.1</v>
      </c>
      <c r="B209" s="23" t="str">
        <f>WBS!B180</f>
        <v>      Sửa lỗi phát hiện trong SIT/UAT</v>
      </c>
      <c r="C209" s="24">
        <f>WBS!E180</f>
        <v>46279</v>
      </c>
      <c r="D209" s="24">
        <f>WBS!F180</f>
        <v>46290</v>
      </c>
      <c r="E209" s="23" t="str">
        <f>WBS!D180</f>
        <v>DEV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 outlineLevel="2">
      <c r="A210" s="23" t="str">
        <f>WBS!A181</f>
        <v>5.5.2</v>
      </c>
      <c r="B210" s="23" t="str">
        <f>WBS!B181</f>
        <v>      Thực hiện kiểm thử hồi quy</v>
      </c>
      <c r="C210" s="24">
        <f>WBS!E181</f>
        <v>46287</v>
      </c>
      <c r="D210" s="24">
        <f>WBS!F181</f>
        <v>46288</v>
      </c>
      <c r="E210" s="23" t="str">
        <f>WBS!D181</f>
        <v>QA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 outlineLevel="1">
      <c r="A211" s="20" t="str">
        <f>WBS!A182</f>
        <v>5.6</v>
      </c>
      <c r="B211" s="20" t="str">
        <f>WBS!B182</f>
        <v>   Kiểm thử vận hành (UAT )</v>
      </c>
      <c r="C211" s="21">
        <f>WBS!E182</f>
        <v>46286</v>
      </c>
      <c r="D211" s="21">
        <f>WBS!F182</f>
        <v>46290</v>
      </c>
      <c r="E211" s="20" t="str">
        <f>WBS!D182</f>
        <v>BA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 outlineLevel="2">
      <c r="A212" s="23" t="str">
        <f>WBS!A183</f>
        <v>5.6.1</v>
      </c>
      <c r="B212" s="23" t="str">
        <f>WBS!B183</f>
        <v>      Chuẩn bị kịch bản UAT &amp; hướng dẫn key users</v>
      </c>
      <c r="C212" s="24">
        <f>WBS!E183</f>
        <v>46286</v>
      </c>
      <c r="D212" s="24">
        <f>WBS!F183</f>
        <v>46286</v>
      </c>
      <c r="E212" s="23" t="str">
        <f>WBS!D183</f>
        <v>BA</v>
      </c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 outlineLevel="2">
      <c r="A213" s="23" t="str">
        <f>WBS!A184</f>
        <v>5.6.2</v>
      </c>
      <c r="B213" s="23" t="str">
        <f>WBS!B184</f>
        <v>      Hỗ trợ khách hàng thực hiện UAT &amp; phân loại lỗi</v>
      </c>
      <c r="C213" s="24">
        <f>WBS!E184</f>
        <v>46289</v>
      </c>
      <c r="D213" s="24">
        <f>WBS!F184</f>
        <v>46290</v>
      </c>
      <c r="E213" s="23" t="str">
        <f>WBS!D184</f>
        <v>BA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 outlineLevel="2">
      <c r="A214" s="23" t="str">
        <f>WBS!A185</f>
        <v>5.6.3</v>
      </c>
      <c r="B214" s="23" t="str">
        <f>WBS!B185</f>
        <v>      Tổng hợp kết quả &amp; ký biên bản UAT (M4)</v>
      </c>
      <c r="C214" s="24">
        <f>WBS!E185</f>
        <v>46290</v>
      </c>
      <c r="D214" s="24">
        <f>WBS!F185</f>
        <v>46290</v>
      </c>
      <c r="E214" s="23" t="str">
        <f>WBS!D185</f>
        <v>PM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0" t="str">
        <f>WBS!A186</f>
        <v>6</v>
      </c>
      <c r="B215" s="20" t="str">
        <f>WBS!B186</f>
        <v>Triển khai &amp; chuyển giao</v>
      </c>
      <c r="C215" s="21">
        <f>WBS!E186</f>
        <v>46283</v>
      </c>
      <c r="D215" s="21">
        <f>WBS!F186</f>
        <v>46323</v>
      </c>
      <c r="E215" s="20" t="str">
        <f>WBS!D186</f>
        <v>OPS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 outlineLevel="1">
      <c r="A216" s="20" t="str">
        <f t="shared" ref="A216:E216" si="25">#REF!</f>
        <v>#REF!</v>
      </c>
      <c r="B216" s="20" t="str">
        <f t="shared" si="25"/>
        <v>#REF!</v>
      </c>
      <c r="C216" s="21" t="str">
        <f t="shared" si="25"/>
        <v>#REF!</v>
      </c>
      <c r="D216" s="21" t="str">
        <f t="shared" si="25"/>
        <v>#REF!</v>
      </c>
      <c r="E216" s="20" t="str">
        <f t="shared" si="25"/>
        <v>#REF!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 outlineLevel="2">
      <c r="A217" s="23" t="str">
        <f t="shared" ref="A217:E217" si="26">#REF!</f>
        <v>#REF!</v>
      </c>
      <c r="B217" s="23" t="str">
        <f t="shared" si="26"/>
        <v>#REF!</v>
      </c>
      <c r="C217" s="24" t="str">
        <f t="shared" si="26"/>
        <v>#REF!</v>
      </c>
      <c r="D217" s="24" t="str">
        <f t="shared" si="26"/>
        <v>#REF!</v>
      </c>
      <c r="E217" s="23" t="str">
        <f t="shared" si="26"/>
        <v>#REF!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 outlineLevel="2">
      <c r="A218" s="23" t="str">
        <f t="shared" ref="A218:E218" si="27">#REF!</f>
        <v>#REF!</v>
      </c>
      <c r="B218" s="23" t="str">
        <f t="shared" si="27"/>
        <v>#REF!</v>
      </c>
      <c r="C218" s="24" t="str">
        <f t="shared" si="27"/>
        <v>#REF!</v>
      </c>
      <c r="D218" s="24" t="str">
        <f t="shared" si="27"/>
        <v>#REF!</v>
      </c>
      <c r="E218" s="23" t="str">
        <f t="shared" si="27"/>
        <v>#REF!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 outlineLevel="2">
      <c r="A219" s="23" t="str">
        <f t="shared" ref="A219:E219" si="28">#REF!</f>
        <v>#REF!</v>
      </c>
      <c r="B219" s="23" t="str">
        <f t="shared" si="28"/>
        <v>#REF!</v>
      </c>
      <c r="C219" s="24" t="str">
        <f t="shared" si="28"/>
        <v>#REF!</v>
      </c>
      <c r="D219" s="24" t="str">
        <f t="shared" si="28"/>
        <v>#REF!</v>
      </c>
      <c r="E219" s="23" t="str">
        <f t="shared" si="28"/>
        <v>#REF!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 outlineLevel="1">
      <c r="A220" s="20" t="str">
        <f>WBS!A187</f>
        <v>6.2</v>
      </c>
      <c r="B220" s="20" t="str">
        <f>WBS!B187</f>
        <v>   Tài liệu chuyển giao</v>
      </c>
      <c r="C220" s="21">
        <f>WBS!E187</f>
        <v>46283</v>
      </c>
      <c r="D220" s="21">
        <f>WBS!F187</f>
        <v>46287</v>
      </c>
      <c r="E220" s="20" t="str">
        <f>WBS!D187</f>
        <v>BA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 outlineLevel="2">
      <c r="A221" s="23" t="str">
        <f>WBS!A188</f>
        <v>6.2.1</v>
      </c>
      <c r="B221" s="23" t="str">
        <f>WBS!B188</f>
        <v>      Biên soạn tài liệu hướng dẫn sử dụng</v>
      </c>
      <c r="C221" s="24">
        <f>WBS!E188</f>
        <v>46283</v>
      </c>
      <c r="D221" s="24">
        <f>WBS!F188</f>
        <v>46286</v>
      </c>
      <c r="E221" s="23" t="str">
        <f>WBS!D188</f>
        <v>BA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 outlineLevel="2">
      <c r="A222" s="23" t="str">
        <f>WBS!A189</f>
        <v>6.2.2</v>
      </c>
      <c r="B222" s="23" t="str">
        <f>WBS!B189</f>
        <v>      Biên soạn tài liệu vận hành &amp; xử lý sự cố</v>
      </c>
      <c r="C222" s="24">
        <f>WBS!E189</f>
        <v>46286</v>
      </c>
      <c r="D222" s="24">
        <f>WBS!F189</f>
        <v>46287</v>
      </c>
      <c r="E222" s="23" t="str">
        <f>WBS!D189</f>
        <v>OPS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 outlineLevel="1">
      <c r="A223" s="20" t="str">
        <f>WBS!A190</f>
        <v>6.3</v>
      </c>
      <c r="B223" s="20" t="str">
        <f>WBS!B190</f>
        <v>   Đào tạo</v>
      </c>
      <c r="C223" s="21">
        <f>WBS!E190</f>
        <v>46293</v>
      </c>
      <c r="D223" s="21">
        <f>WBS!F190</f>
        <v>46294</v>
      </c>
      <c r="E223" s="20" t="str">
        <f>WBS!D190</f>
        <v>BA</v>
      </c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 outlineLevel="2">
      <c r="A224" s="23" t="str">
        <f>WBS!A191</f>
        <v>6.3.1</v>
      </c>
      <c r="B224" s="23" t="str">
        <f>WBS!B191</f>
        <v>      Chuẩn bị tài liệu &amp; môi trường đào tạo</v>
      </c>
      <c r="C224" s="24">
        <f>WBS!E191</f>
        <v>46293</v>
      </c>
      <c r="D224" s="24">
        <f>WBS!F191</f>
        <v>46293</v>
      </c>
      <c r="E224" s="23" t="str">
        <f>WBS!D191</f>
        <v>BA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 outlineLevel="2">
      <c r="A225" s="23" t="str">
        <f>WBS!A192</f>
        <v>6.3.2</v>
      </c>
      <c r="B225" s="23" t="str">
        <f>WBS!B192</f>
        <v>      Đào tạo người dùng nghiệp vụ</v>
      </c>
      <c r="C225" s="24">
        <f>WBS!E192</f>
        <v>46294</v>
      </c>
      <c r="D225" s="24">
        <f>WBS!F192</f>
        <v>46294</v>
      </c>
      <c r="E225" s="23" t="str">
        <f>WBS!D192</f>
        <v>BA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 outlineLevel="2">
      <c r="A226" s="23" t="str">
        <f>WBS!A193</f>
        <v>6.3.3</v>
      </c>
      <c r="B226" s="23" t="str">
        <f>WBS!B193</f>
        <v>      Đào tạo đội IT vận hành</v>
      </c>
      <c r="C226" s="24">
        <f>WBS!E193</f>
        <v>46294</v>
      </c>
      <c r="D226" s="24">
        <f>WBS!F193</f>
        <v>46294</v>
      </c>
      <c r="E226" s="23" t="str">
        <f>WBS!D193</f>
        <v>OPS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 outlineLevel="1">
      <c r="A227" s="20" t="str">
        <f t="shared" ref="A227:E227" si="29">#REF!</f>
        <v>#REF!</v>
      </c>
      <c r="B227" s="20" t="str">
        <f t="shared" si="29"/>
        <v>#REF!</v>
      </c>
      <c r="C227" s="21" t="str">
        <f t="shared" si="29"/>
        <v>#REF!</v>
      </c>
      <c r="D227" s="21" t="str">
        <f t="shared" si="29"/>
        <v>#REF!</v>
      </c>
      <c r="E227" s="20" t="str">
        <f t="shared" si="29"/>
        <v>#REF!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 outlineLevel="2">
      <c r="A228" s="23" t="str">
        <f t="shared" ref="A228:E228" si="30">#REF!</f>
        <v>#REF!</v>
      </c>
      <c r="B228" s="23" t="str">
        <f t="shared" si="30"/>
        <v>#REF!</v>
      </c>
      <c r="C228" s="24" t="str">
        <f t="shared" si="30"/>
        <v>#REF!</v>
      </c>
      <c r="D228" s="24" t="str">
        <f t="shared" si="30"/>
        <v>#REF!</v>
      </c>
      <c r="E228" s="23" t="str">
        <f t="shared" si="30"/>
        <v>#REF!</v>
      </c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 outlineLevel="2">
      <c r="A229" s="23" t="str">
        <f t="shared" ref="A229:E229" si="31">#REF!</f>
        <v>#REF!</v>
      </c>
      <c r="B229" s="23" t="str">
        <f t="shared" si="31"/>
        <v>#REF!</v>
      </c>
      <c r="C229" s="24" t="str">
        <f t="shared" si="31"/>
        <v>#REF!</v>
      </c>
      <c r="D229" s="24" t="str">
        <f t="shared" si="31"/>
        <v>#REF!</v>
      </c>
      <c r="E229" s="23" t="str">
        <f t="shared" si="31"/>
        <v>#REF!</v>
      </c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 outlineLevel="2">
      <c r="A230" s="23" t="str">
        <f t="shared" ref="A230:E230" si="32">#REF!</f>
        <v>#REF!</v>
      </c>
      <c r="B230" s="23" t="str">
        <f t="shared" si="32"/>
        <v>#REF!</v>
      </c>
      <c r="C230" s="24" t="str">
        <f t="shared" si="32"/>
        <v>#REF!</v>
      </c>
      <c r="D230" s="24" t="str">
        <f t="shared" si="32"/>
        <v>#REF!</v>
      </c>
      <c r="E230" s="23" t="str">
        <f t="shared" si="32"/>
        <v>#REF!</v>
      </c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 outlineLevel="1">
      <c r="A231" s="20" t="str">
        <f>WBS!A194</f>
        <v>6.5</v>
      </c>
      <c r="B231" s="20" t="str">
        <f>WBS!B194</f>
        <v>   Go-live</v>
      </c>
      <c r="C231" s="21">
        <f>WBS!E194</f>
        <v>46296</v>
      </c>
      <c r="D231" s="21">
        <f>WBS!F194</f>
        <v>46296</v>
      </c>
      <c r="E231" s="20" t="str">
        <f>WBS!D194</f>
        <v>OPS</v>
      </c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 outlineLevel="2">
      <c r="A232" s="23" t="str">
        <f>WBS!A195</f>
        <v>6.5.1</v>
      </c>
      <c r="B232" s="23" t="str">
        <f>WBS!B195</f>
        <v>      Triển khai PROD &amp; kiểm tra sau triển khai</v>
      </c>
      <c r="C232" s="24">
        <f>WBS!E195</f>
        <v>46296</v>
      </c>
      <c r="D232" s="24">
        <f>WBS!F195</f>
        <v>46296</v>
      </c>
      <c r="E232" s="23" t="str">
        <f>WBS!D195</f>
        <v>OPS</v>
      </c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 outlineLevel="2">
      <c r="A233" s="23" t="str">
        <f t="shared" ref="A233:E233" si="33">#REF!</f>
        <v>#REF!</v>
      </c>
      <c r="B233" s="23" t="str">
        <f t="shared" si="33"/>
        <v>#REF!</v>
      </c>
      <c r="C233" s="24" t="str">
        <f t="shared" si="33"/>
        <v>#REF!</v>
      </c>
      <c r="D233" s="24" t="str">
        <f t="shared" si="33"/>
        <v>#REF!</v>
      </c>
      <c r="E233" s="23" t="str">
        <f t="shared" si="33"/>
        <v>#REF!</v>
      </c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 outlineLevel="1">
      <c r="A234" s="20" t="str">
        <f>WBS!A196</f>
        <v>6.6</v>
      </c>
      <c r="B234" s="20" t="str">
        <f>WBS!B196</f>
        <v>   Hỗ trợ sau go-live (01 tháng)</v>
      </c>
      <c r="C234" s="21">
        <f>WBS!E196</f>
        <v>46297</v>
      </c>
      <c r="D234" s="21">
        <f>WBS!F196</f>
        <v>46323</v>
      </c>
      <c r="E234" s="20" t="str">
        <f>WBS!D196</f>
        <v>DEV</v>
      </c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 outlineLevel="2">
      <c r="A235" s="23" t="str">
        <f>WBS!A197</f>
        <v>6.6.1</v>
      </c>
      <c r="B235" s="23" t="str">
        <f>WBS!B197</f>
        <v>      Trực tăng cường &amp; xử lý sự cố 72 giờ đầu</v>
      </c>
      <c r="C235" s="24">
        <f>WBS!E197</f>
        <v>46297</v>
      </c>
      <c r="D235" s="24">
        <f>WBS!F197</f>
        <v>46300</v>
      </c>
      <c r="E235" s="23" t="str">
        <f>WBS!D197</f>
        <v>DEV</v>
      </c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 outlineLevel="2">
      <c r="A236" s="23" t="str">
        <f>WBS!A198</f>
        <v>6.6.2</v>
      </c>
      <c r="B236" s="23" t="str">
        <f>WBS!B198</f>
        <v>      Hỗ trợ vận hành tháng đầu &amp; theo dõi hiệu năng</v>
      </c>
      <c r="C236" s="24">
        <f>WBS!E198</f>
        <v>46301</v>
      </c>
      <c r="D236" s="24">
        <f>WBS!F198</f>
        <v>46321</v>
      </c>
      <c r="E236" s="23" t="str">
        <f>WBS!D198</f>
        <v>DEV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 outlineLevel="2">
      <c r="A237" s="23" t="str">
        <f>WBS!A199</f>
        <v>6.6.3</v>
      </c>
      <c r="B237" s="23" t="str">
        <f>WBS!B199</f>
        <v>      Bàn giao vận hành (M6)</v>
      </c>
      <c r="C237" s="24">
        <f>WBS!E199</f>
        <v>46322</v>
      </c>
      <c r="D237" s="24">
        <f>WBS!F199</f>
        <v>46323</v>
      </c>
      <c r="E237" s="23" t="str">
        <f>WBS!D199</f>
        <v>PM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conditionalFormatting sqref="F4:Z237">
    <cfRule type="expression" dxfId="0" priority="1">
      <formula>AND(F$4&lt;=DATE(2027,7,1),F$4+6&gt;=DATE(2027,7,1))</formula>
    </cfRule>
  </conditionalFormatting>
  <conditionalFormatting sqref="F5:Z237">
    <cfRule type="expression" dxfId="1" priority="2">
      <formula>AND(AND(F$4&lt;=$D5,F$4+6&gt;=$C5),ISERROR(FIND(".",$A5)))</formula>
    </cfRule>
  </conditionalFormatting>
  <conditionalFormatting sqref="F5:Z237">
    <cfRule type="expression" dxfId="2" priority="3">
      <formula>AND(F$4&lt;=$D5,F$4+6&gt;=$C5)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2026-09-23T15:11:58Z</dcterms:created>
  <dc:creator>openpyxl</dc:creator>
</cp:coreProperties>
</file>