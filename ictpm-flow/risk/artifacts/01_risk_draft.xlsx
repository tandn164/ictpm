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R-001" sheetId="6" state="visible" r:id="rId6"/>
    <sheet xmlns:r="http://schemas.openxmlformats.org/officeDocument/2006/relationships" name="R-002" sheetId="7" state="visible" r:id="rId7"/>
    <sheet xmlns:r="http://schemas.openxmlformats.org/officeDocument/2006/relationships" name="R-003" sheetId="8" state="visible" r:id="rId8"/>
    <sheet xmlns:r="http://schemas.openxmlformats.org/officeDocument/2006/relationships" name="R-004" sheetId="9" state="visible" r:id="rId9"/>
    <sheet xmlns:r="http://schemas.openxmlformats.org/officeDocument/2006/relationships" name="R-005" sheetId="10" state="visible" r:id="rId10"/>
    <sheet xmlns:r="http://schemas.openxmlformats.org/officeDocument/2006/relationships" name="R-006" sheetId="11" state="visible" r:id="rId11"/>
    <sheet xmlns:r="http://schemas.openxmlformats.org/officeDocument/2006/relationships" name="R-007" sheetId="12" state="visible" r:id="rId12"/>
    <sheet xmlns:r="http://schemas.openxmlformats.org/officeDocument/2006/relationships" name="R-008" sheetId="13" state="visible" r:id="rId13"/>
    <sheet xmlns:r="http://schemas.openxmlformats.org/officeDocument/2006/relationships" name="R-009" sheetId="14" state="visible" r:id="rId14"/>
    <sheet xmlns:r="http://schemas.openxmlformats.org/officeDocument/2006/relationships" name="R-010" sheetId="15" state="visible" r:id="rId15"/>
    <sheet xmlns:r="http://schemas.openxmlformats.org/officeDocument/2006/relationships" name="R-011" sheetId="16" state="visible" r:id="rId16"/>
    <sheet xmlns:r="http://schemas.openxmlformats.org/officeDocument/2006/relationships" name="R-012" sheetId="17" state="visible" r:id="rId17"/>
    <sheet xmlns:r="http://schemas.openxmlformats.org/officeDocument/2006/relationships" name="R-013" sheetId="18" state="visible" r:id="rId18"/>
    <sheet xmlns:r="http://schemas.openxmlformats.org/officeDocument/2006/relationships" name="R-014" sheetId="19" state="visible" r:id="rId19"/>
    <sheet xmlns:r="http://schemas.openxmlformats.org/officeDocument/2006/relationships" name="R-015" sheetId="20" state="visible" r:id="rId20"/>
    <sheet xmlns:r="http://schemas.openxmlformats.org/officeDocument/2006/relationships" name="R-01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1F4E79"/>
      <sz val="20"/>
    </font>
    <font>
      <name val="Times New Roman"/>
      <color rgb="002E75B6"/>
      <sz val="14"/>
    </font>
    <font>
      <name val="Times New Roman"/>
      <b val="1"/>
      <color rgb="00FFFFFF"/>
      <sz val="14"/>
    </font>
    <font>
      <name val="Times New Roman"/>
      <b val="1"/>
      <color rgb="001F4E79"/>
      <sz val="14"/>
    </font>
    <font>
      <name val="Times New Roman"/>
      <color rgb="00000000"/>
      <sz val="14"/>
    </font>
    <font>
      <name val="Times New Roman"/>
      <b val="1"/>
      <color rgb="00000000"/>
      <sz val="14"/>
    </font>
    <font>
      <name val="Times New Roman"/>
      <b val="1"/>
      <color rgb="00FFFFFF"/>
      <sz val="16"/>
    </font>
    <font>
      <name val="Times New Roman"/>
      <b val="1"/>
      <color rgb="009C5700"/>
      <sz val="14"/>
    </font>
    <font>
      <name val="Times New Roman"/>
      <b val="1"/>
      <color rgb="00006100"/>
      <sz val="14"/>
    </font>
    <font>
      <name val="Times New Roman"/>
      <i val="1"/>
      <color rgb="00666666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FFEB9C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6" fillId="0" borderId="1" pivotButton="0" quotePrefix="0" xfId="0"/>
    <xf numFmtId="0" fontId="7" fillId="2" borderId="0" pivotButton="0" quotePrefix="0" xfId="0"/>
    <xf numFmtId="0" fontId="6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3" fillId="2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8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0" pivotButton="0" quotePrefix="0" xfId="0"/>
  </cellXfs>
  <cellStyles count="1">
    <cellStyle name="Normal" xfId="0" builtinId="0" hidden="0"/>
  </cellStyles>
  <dxfs count="3">
    <dxf>
      <font>
        <name val="Times New Roman"/>
        <b val="1"/>
        <color rgb="00000000"/>
        <sz val="14"/>
      </font>
      <fill>
        <patternFill patternType="solid">
          <fgColor rgb="00FFC7CE"/>
        </patternFill>
      </fill>
    </dxf>
    <dxf>
      <font>
        <name val="Times New Roman"/>
        <b val="1"/>
        <color rgb="00000000"/>
        <sz val="14"/>
      </font>
      <fill>
        <patternFill patternType="solid">
          <fgColor rgb="00FCE4D6"/>
        </patternFill>
      </fill>
    </dxf>
    <dxf>
      <font>
        <name val="Times New Roman"/>
        <b val="1"/>
        <color rgb="00000000"/>
        <sz val="14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2">
      <c r="B2" s="1" t="inlineStr">
        <is>
          <t>PROJECT RISK MANAGEMENT</t>
        </is>
      </c>
    </row>
    <row r="3">
      <c r="B3" s="2" t="inlineStr">
        <is>
          <t>Plan · Identify · Analyze (A/B/C) · Respond · Monitor</t>
        </is>
      </c>
    </row>
    <row r="5">
      <c r="B5" s="3" t="inlineStr">
        <is>
          <t>Thông tin dự án</t>
        </is>
      </c>
      <c r="C5" s="4" t="n"/>
      <c r="D5" s="4" t="n"/>
      <c r="E5" s="4" t="n"/>
      <c r="F5" s="4" t="n"/>
    </row>
    <row r="6">
      <c r="B6" s="5" t="inlineStr">
        <is>
          <t>Tên dự án</t>
        </is>
      </c>
      <c r="C6" s="6" t="inlineStr">
        <is>
          <t>Hệ thống bán hàng online ABC Wear (ABC-WSS-PM_26I_09)</t>
        </is>
      </c>
      <c r="D6" s="29" t="n"/>
      <c r="E6" s="30" t="n"/>
    </row>
    <row r="7">
      <c r="B7" s="5" t="inlineStr">
        <is>
          <t>Mã / Document No.</t>
        </is>
      </c>
      <c r="C7" s="6" t="inlineStr">
        <is>
          <t>ABC-WSS-PM_26I_09</t>
        </is>
      </c>
      <c r="D7" s="29" t="n"/>
      <c r="E7" s="30" t="n"/>
    </row>
    <row r="8">
      <c r="B8" s="5" t="inlineStr">
        <is>
          <t>Công ty / Đơn vị</t>
        </is>
      </c>
      <c r="C8" s="6" t="inlineStr">
        <is>
          <t>Công ty Cổ phần ABC Wear / Nhóm 09-20261 (nhà thầu)</t>
        </is>
      </c>
      <c r="D8" s="29" t="n"/>
      <c r="E8" s="30" t="n"/>
    </row>
    <row r="9">
      <c r="B9" s="5" t="inlineStr">
        <is>
          <t>Project Manager</t>
        </is>
      </c>
      <c r="C9" s="6" t="inlineStr">
        <is>
          <t>Nguyễn Đức Tân</t>
        </is>
      </c>
      <c r="D9" s="29" t="n"/>
      <c r="E9" s="30" t="n"/>
    </row>
    <row r="10">
      <c r="B10" s="5" t="inlineStr">
        <is>
          <t>Ngày lập</t>
        </is>
      </c>
      <c r="C10" s="6" t="inlineStr">
        <is>
          <t>2026-10-17</t>
        </is>
      </c>
      <c r="D10" s="29" t="n"/>
      <c r="E10" s="30" t="n"/>
    </row>
    <row r="11">
      <c r="B11" s="5" t="inlineStr">
        <is>
          <t>Phiên bản</t>
        </is>
      </c>
      <c r="C11" s="6" t="inlineStr">
        <is>
          <t>1.0</t>
        </is>
      </c>
      <c r="D11" s="29" t="n"/>
      <c r="E11" s="30" t="n"/>
    </row>
    <row r="13">
      <c r="B13" s="7" t="inlineStr">
        <is>
          <t>Sheets</t>
        </is>
      </c>
      <c r="C13" s="8" t="n"/>
      <c r="D13" s="8" t="n"/>
    </row>
    <row r="14">
      <c r="B14" s="9" t="inlineStr">
        <is>
          <t>Plan</t>
        </is>
      </c>
      <c r="C14" s="6" t="inlineStr">
        <is>
          <t>Methodology, Roles, Budgeting, Timing, Categories</t>
        </is>
      </c>
      <c r="D14" s="29" t="n"/>
      <c r="E14" s="30" t="n"/>
    </row>
    <row r="15">
      <c r="B15" s="9" t="inlineStr">
        <is>
          <t>Register</t>
        </is>
      </c>
      <c r="C15" s="6" t="inlineStr">
        <is>
          <t>Sổ rủi ro + ma trận Priority A/B/C (cùng sheet)</t>
        </is>
      </c>
      <c r="D15" s="29" t="n"/>
      <c r="E15" s="30" t="n"/>
    </row>
    <row r="16">
      <c r="B16" s="9" t="inlineStr">
        <is>
          <t>Values</t>
        </is>
      </c>
      <c r="C16" s="6" t="inlineStr">
        <is>
          <t>Dropdown Probability / Impact / Strategy / Category</t>
        </is>
      </c>
      <c r="D16" s="29" t="n"/>
      <c r="E16" s="30" t="n"/>
    </row>
    <row r="17">
      <c r="B17" s="9" t="inlineStr">
        <is>
          <t>Analysis</t>
        </is>
      </c>
      <c r="C17" s="6" t="inlineStr">
        <is>
          <t>Mẫu phiếu — fill tạo thêm 1 sheet / rủi ro (R-001, R-002, …)</t>
        </is>
      </c>
      <c r="D17" s="29" t="n"/>
      <c r="E17" s="30" t="n"/>
    </row>
  </sheetData>
  <mergeCells count="12">
    <mergeCell ref="C16:E16"/>
    <mergeCell ref="C11:E11"/>
    <mergeCell ref="C14:E14"/>
    <mergeCell ref="B2:F2"/>
    <mergeCell ref="B3:F3"/>
    <mergeCell ref="C8:E8"/>
    <mergeCell ref="C9:E9"/>
    <mergeCell ref="C17:E17"/>
    <mergeCell ref="C7:E7"/>
    <mergeCell ref="C15:E15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6" customHeight="1">
      <c r="A1" s="10" t="inlineStr">
        <is>
          <t>RISK MANAGEMENT PLAN</t>
        </is>
      </c>
    </row>
    <row r="2">
      <c r="A2" s="11" t="inlineStr">
        <is>
          <t>Project</t>
        </is>
      </c>
      <c r="B2" s="6">
        <f>'Cover'!C6</f>
        <v/>
      </c>
    </row>
    <row r="4">
      <c r="A4" s="7" t="inlineStr">
        <is>
          <t>1. Methodology</t>
        </is>
      </c>
    </row>
    <row r="5">
      <c r="A5" s="12" t="inlineStr">
        <is>
          <t>Nhận diện theo Category–Driver–Risk bám Fact; phân tích định tính Probability × Impact → Priority A/B/C; phân tích định lượng EMV cho rủi ro Priority A (Decision Q-R06); ứng phó Avoid/Transfer/Mitigate/Accept; theo dõi hằng tuần và tại mốc M0–M6.</t>
        </is>
      </c>
      <c r="B5" s="31" t="n"/>
    </row>
    <row r="6">
      <c r="A6" s="32" t="n"/>
      <c r="B6" s="33" t="n"/>
    </row>
    <row r="7">
      <c r="A7" s="7" t="inlineStr">
        <is>
          <t>2. Roles and responsibilities</t>
        </is>
      </c>
    </row>
    <row r="8">
      <c r="A8" s="12" t="inlineStr">
        <is>
          <t>PM Nguyễn Đức Tân chủ trì register và là owner mặc định (Q-R04); SA (Nguyễn Hải Đăng) rủi ro kỹ thuật/kiến trúc; BA (Đinh Đức Thắng) rủi ro yêu cầu/UAT; OPS (Trần Hùng E) rủi ro triển khai/hạ tầng; QC (Nguyễn Hữu C) rủi ro chất lượng; Sponsor ABC Wear phê duyệt strategy mức A.</t>
        </is>
      </c>
      <c r="B8" s="31" t="n"/>
    </row>
    <row r="9">
      <c r="A9" s="32" t="n"/>
      <c r="B9" s="33" t="n"/>
    </row>
    <row r="10">
      <c r="A10" s="7" t="inlineStr">
        <is>
          <t>3. Budgeting</t>
        </is>
      </c>
    </row>
    <row r="11">
      <c r="A11" s="12" t="inlineStr">
        <is>
          <t>89.760.000 VNĐ (10% × ngân sách 897.600.000 VNĐ) — Decision Q-R09 (thay mức 5% tại Q-R03)</t>
        </is>
      </c>
      <c r="B11" s="31" t="n"/>
    </row>
    <row r="12">
      <c r="A12" s="32" t="n"/>
      <c r="B12" s="33" t="n"/>
    </row>
    <row r="13">
      <c r="A13" s="7" t="inlineStr">
        <is>
          <t>4. Timing</t>
        </is>
      </c>
    </row>
    <row r="14">
      <c r="A14" s="12" t="inlineStr">
        <is>
          <t>Rà soát hằng tuần (WBS 1.3.1) + review tại mốc M0 (03/07), M1–M3, trước UAT 21/09/2026, trước go-live 01/10/2026, đóng dự án 30/10/2026.</t>
        </is>
      </c>
      <c r="B14" s="31" t="n"/>
    </row>
    <row r="15">
      <c r="A15" s="32" t="n"/>
      <c r="B15" s="33" t="n"/>
    </row>
    <row r="16">
      <c r="A16" s="7" t="inlineStr">
        <is>
          <t>5. Risk categories</t>
        </is>
      </c>
    </row>
    <row r="17">
      <c r="A17" s="12" t="inlineStr">
        <is>
          <t>System, Technical, Organization, Regulatory, Vendor</t>
        </is>
      </c>
      <c r="B17" s="31" t="n"/>
    </row>
    <row r="18">
      <c r="A18" s="32" t="n"/>
      <c r="B18" s="33" t="n"/>
    </row>
    <row r="19">
      <c r="A19" s="7" t="inlineStr">
        <is>
          <t>6. Monitor (review questions)</t>
        </is>
      </c>
    </row>
    <row r="20">
      <c r="A20" s="12" t="inlineStr">
        <is>
          <t>Cadence: Hằng tuần trong họp tiến độ (WBS 1.3.1) + review chính thức tại mốc M0–M6 — Decision Q-R04
Response plan còn hiệu lực?
Có rủi ro mới không?
Rủi ro đã đổi Probability / Impact / Priority không?
Contingency đã sẵn sàng khi trigger?</t>
        </is>
      </c>
      <c r="B20" s="31" t="n"/>
    </row>
    <row r="21">
      <c r="A21" s="32" t="n"/>
      <c r="B21" s="33" t="n"/>
    </row>
  </sheetData>
  <mergeCells count="13">
    <mergeCell ref="A4:B4"/>
    <mergeCell ref="A16:B16"/>
    <mergeCell ref="A20:B21"/>
    <mergeCell ref="A7:B7"/>
    <mergeCell ref="A19:B19"/>
    <mergeCell ref="A10:B10"/>
    <mergeCell ref="A11:B12"/>
    <mergeCell ref="A5:B6"/>
    <mergeCell ref="A13:B13"/>
    <mergeCell ref="A1:B1"/>
    <mergeCell ref="A14:B15"/>
    <mergeCell ref="A17:B18"/>
    <mergeCell ref="A8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Probability</t>
        </is>
      </c>
      <c r="B1" s="13" t="inlineStr">
        <is>
          <t>Impact</t>
        </is>
      </c>
      <c r="C1" s="13" t="inlineStr">
        <is>
          <t>Strategy</t>
        </is>
      </c>
      <c r="D1" s="13" t="inlineStr">
        <is>
          <t>Category</t>
        </is>
      </c>
      <c r="E1" s="13" t="inlineStr">
        <is>
          <t>Priority</t>
        </is>
      </c>
    </row>
    <row r="2">
      <c r="A2" s="6" t="inlineStr">
        <is>
          <t>High</t>
        </is>
      </c>
      <c r="B2" s="6" t="inlineStr">
        <is>
          <t>Big</t>
        </is>
      </c>
      <c r="C2" s="6" t="inlineStr">
        <is>
          <t>Avoid</t>
        </is>
      </c>
      <c r="D2" s="6" t="inlineStr">
        <is>
          <t>System</t>
        </is>
      </c>
      <c r="E2" s="14" t="inlineStr">
        <is>
          <t>A</t>
        </is>
      </c>
    </row>
    <row r="3">
      <c r="A3" s="6" t="inlineStr">
        <is>
          <t>Middle</t>
        </is>
      </c>
      <c r="B3" s="6" t="inlineStr">
        <is>
          <t>Middle</t>
        </is>
      </c>
      <c r="C3" s="6" t="inlineStr">
        <is>
          <t>Transfer</t>
        </is>
      </c>
      <c r="D3" s="6" t="inlineStr">
        <is>
          <t>Technical</t>
        </is>
      </c>
      <c r="E3" s="15" t="inlineStr">
        <is>
          <t>B</t>
        </is>
      </c>
    </row>
    <row r="4">
      <c r="A4" s="6" t="inlineStr">
        <is>
          <t>Low</t>
        </is>
      </c>
      <c r="B4" s="6" t="inlineStr">
        <is>
          <t>Small</t>
        </is>
      </c>
      <c r="C4" s="6" t="inlineStr">
        <is>
          <t>Mitigate</t>
        </is>
      </c>
      <c r="D4" s="6" t="inlineStr">
        <is>
          <t>Organization</t>
        </is>
      </c>
      <c r="E4" s="16" t="inlineStr">
        <is>
          <t>C</t>
        </is>
      </c>
    </row>
    <row r="5">
      <c r="C5" s="6" t="inlineStr">
        <is>
          <t>Accept</t>
        </is>
      </c>
      <c r="D5" s="34" t="inlineStr">
        <is>
          <t>Regulatory</t>
        </is>
      </c>
    </row>
    <row r="6">
      <c r="D6" s="34" t="inlineStr">
        <is>
          <t>Vendor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6" customWidth="1" min="4" max="4"/>
    <col width="11" customWidth="1" min="5" max="5"/>
    <col width="24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26" customWidth="1" min="14" max="14"/>
    <col width="20" customWidth="1" min="15" max="15"/>
  </cols>
  <sheetData>
    <row r="1" ht="24" customHeight="1">
      <c r="A1" s="10" t="inlineStr">
        <is>
          <t>RISK REGISTER</t>
        </is>
      </c>
    </row>
    <row r="2">
      <c r="A2" s="9" t="inlineStr">
        <is>
          <t>Project</t>
        </is>
      </c>
      <c r="B2" s="6">
        <f>'Cover'!C6</f>
        <v/>
      </c>
    </row>
    <row r="4">
      <c r="A4" s="7" t="inlineStr">
        <is>
          <t>PRIORITY MATRIX (Probability × Impact)</t>
        </is>
      </c>
      <c r="F4" s="7" t="inlineStr">
        <is>
          <t>Định nghĩa thang đánh giá</t>
        </is>
      </c>
    </row>
    <row r="5">
      <c r="A5" s="17" t="inlineStr">
        <is>
          <t>Probability \ Impact</t>
        </is>
      </c>
      <c r="B5" s="17" t="inlineStr">
        <is>
          <t>Big</t>
        </is>
      </c>
      <c r="C5" s="17" t="inlineStr">
        <is>
          <t>Middle</t>
        </is>
      </c>
      <c r="D5" s="17" t="inlineStr">
        <is>
          <t>Small</t>
        </is>
      </c>
      <c r="F5" s="11" t="inlineStr">
        <is>
          <t>P: High / Middle / Low</t>
        </is>
      </c>
      <c r="G5" s="18" t="inlineStr">
        <is>
          <t>Nhiều lần trong quá khứ / vài lần / hiếm hoặc chưa</t>
        </is>
      </c>
      <c r="H5" s="29" t="n"/>
      <c r="I5" s="29" t="n"/>
      <c r="J5" s="29" t="n"/>
      <c r="K5" s="29" t="n"/>
      <c r="L5" s="30" t="n"/>
    </row>
    <row r="6">
      <c r="A6" s="19" t="inlineStr">
        <is>
          <t>High</t>
        </is>
      </c>
      <c r="B6" s="14" t="inlineStr">
        <is>
          <t>A</t>
        </is>
      </c>
      <c r="C6" s="14" t="inlineStr">
        <is>
          <t>A</t>
        </is>
      </c>
      <c r="D6" s="15" t="inlineStr">
        <is>
          <t>B</t>
        </is>
      </c>
      <c r="F6" s="11" t="inlineStr">
        <is>
          <t>I: Big</t>
        </is>
      </c>
      <c r="G6" s="18" t="inlineStr">
        <is>
          <t>Tổ chức phải xử lý (ảnh hưởng lớn, pháp lý, truyền thông)</t>
        </is>
      </c>
      <c r="H6" s="29" t="n"/>
      <c r="I6" s="29" t="n"/>
      <c r="J6" s="29" t="n"/>
      <c r="K6" s="29" t="n"/>
      <c r="L6" s="30" t="n"/>
    </row>
    <row r="7">
      <c r="A7" s="19" t="inlineStr">
        <is>
          <t>Middle</t>
        </is>
      </c>
      <c r="B7" s="14" t="inlineStr">
        <is>
          <t>A</t>
        </is>
      </c>
      <c r="C7" s="15" t="inlineStr">
        <is>
          <t>B</t>
        </is>
      </c>
      <c r="D7" s="16" t="inlineStr">
        <is>
          <t>C</t>
        </is>
      </c>
      <c r="F7" s="11" t="inlineStr">
        <is>
          <t>I: Middle</t>
        </is>
      </c>
      <c r="G7" s="18" t="inlineStr">
        <is>
          <t>Cần team hoặc đơn vị khác hỗ trợ</t>
        </is>
      </c>
      <c r="H7" s="29" t="n"/>
      <c r="I7" s="29" t="n"/>
      <c r="J7" s="29" t="n"/>
      <c r="K7" s="29" t="n"/>
      <c r="L7" s="30" t="n"/>
    </row>
    <row r="8">
      <c r="A8" s="19" t="inlineStr">
        <is>
          <t>Low</t>
        </is>
      </c>
      <c r="B8" s="15" t="inlineStr">
        <is>
          <t>B</t>
        </is>
      </c>
      <c r="C8" s="16" t="inlineStr">
        <is>
          <t>C</t>
        </is>
      </c>
      <c r="D8" s="16" t="inlineStr">
        <is>
          <t>C</t>
        </is>
      </c>
      <c r="F8" s="11" t="inlineStr">
        <is>
          <t>I: Small</t>
        </is>
      </c>
      <c r="G8" s="18" t="inlineStr">
        <is>
          <t>Team dự án tự xử trong buffer</t>
        </is>
      </c>
      <c r="H8" s="29" t="n"/>
      <c r="I8" s="29" t="n"/>
      <c r="J8" s="29" t="n"/>
      <c r="K8" s="29" t="n"/>
      <c r="L8" s="30" t="n"/>
    </row>
    <row r="9">
      <c r="F9" s="11" t="inlineStr">
        <is>
          <t>A / B / C</t>
        </is>
      </c>
      <c r="G9" s="18" t="inlineStr">
        <is>
          <t>Ưu tiên ứng phó trước / có phương án theo dõi / theo dõi nhẹ</t>
        </is>
      </c>
      <c r="H9" s="29" t="n"/>
      <c r="I9" s="29" t="n"/>
      <c r="J9" s="29" t="n"/>
      <c r="K9" s="29" t="n"/>
      <c r="L9" s="3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1" t="inlineStr">
        <is>
          <t>Initial (trước ứng phó)</t>
        </is>
      </c>
      <c r="I10" s="29" t="n"/>
      <c r="J10" s="30" t="n"/>
      <c r="K10" s="23" t="inlineStr">
        <is>
          <t>Current (sau ứng phó)</t>
        </is>
      </c>
      <c r="L10" s="29" t="n"/>
      <c r="M10" s="30" t="n"/>
      <c r="N10" s="20" t="n"/>
      <c r="O10" s="20" t="n"/>
    </row>
    <row r="11" ht="28" customHeight="1">
      <c r="A11" s="25" t="inlineStr">
        <is>
          <t>ID</t>
        </is>
      </c>
      <c r="B11" s="25" t="inlineStr">
        <is>
          <t>Category</t>
        </is>
      </c>
      <c r="C11" s="25" t="inlineStr">
        <is>
          <t>Risk Driver</t>
        </is>
      </c>
      <c r="D11" s="25" t="inlineStr">
        <is>
          <t>Risk</t>
        </is>
      </c>
      <c r="E11" s="25" t="inlineStr">
        <is>
          <t>Strategy</t>
        </is>
      </c>
      <c r="F11" s="25" t="inlineStr">
        <is>
          <t>Response actions</t>
        </is>
      </c>
      <c r="G11" s="25" t="inlineStr">
        <is>
          <t>Owner</t>
        </is>
      </c>
      <c r="H11" s="25" t="inlineStr">
        <is>
          <t>P</t>
        </is>
      </c>
      <c r="I11" s="25" t="inlineStr">
        <is>
          <t>I</t>
        </is>
      </c>
      <c r="J11" s="25" t="inlineStr">
        <is>
          <t>Priority</t>
        </is>
      </c>
      <c r="K11" s="25" t="inlineStr">
        <is>
          <t>P</t>
        </is>
      </c>
      <c r="L11" s="25" t="inlineStr">
        <is>
          <t>I</t>
        </is>
      </c>
      <c r="M11" s="25" t="inlineStr">
        <is>
          <t>Priority</t>
        </is>
      </c>
      <c r="N11" s="25" t="inlineStr">
        <is>
          <t>Contingency / Residual / Secondary</t>
        </is>
      </c>
      <c r="O11" s="25" t="inlineStr">
        <is>
          <t>Evidence / Comments</t>
        </is>
      </c>
    </row>
    <row r="12" ht="28" customHeight="1">
      <c r="A12" s="26" t="inlineStr">
        <is>
          <t>R-001</t>
        </is>
      </c>
      <c r="B12" s="26" t="inlineStr">
        <is>
          <t>System</t>
        </is>
      </c>
      <c r="C12" s="26" t="inlineStr">
        <is>
          <t>Yêu cầu nghiệp vụ chưa chốt đủ trước khi thiết kế (SRS duyệt muộn 10/07/2026, thiết kế bắt đầu 03/07/2026)</t>
        </is>
      </c>
      <c r="D12" s="26" t="inlineStr">
        <is>
          <t>Rework và trễ tiến độ phân tích/thiết kế</t>
        </is>
      </c>
      <c r="E12" s="26" t="inlineStr">
        <is>
          <t>Mitigate</t>
        </is>
      </c>
      <c r="F12" s="26" t="inlineStr">
        <is>
          <t>Chốt SRS có chữ ký 10/07/2026 (WBS 2.5); freeze change sau mốc; change qua Change Management Plan</t>
        </is>
      </c>
      <c r="G12" s="26" t="inlineStr">
        <is>
          <t>BA – Đinh Đức Thắng</t>
        </is>
      </c>
      <c r="H12" s="26" t="inlineStr">
        <is>
          <t>Middle</t>
        </is>
      </c>
      <c r="I12" s="26" t="inlineStr">
        <is>
          <t>Big</t>
        </is>
      </c>
      <c r="J12" s="27">
        <f>IF(OR(H12="",I12=""),"",IF(AND(H12="High",I12="Big"),"A",IF(AND(H12="High",I12="Middle"),"A",IF(AND(H12="High",I12="Small"),"B",IF(AND(H12="Middle",I12="Big"),"A",IF(AND(H12="Middle",I12="Middle"),"B",IF(AND(H12="Middle",I12="Small"),"C",IF(AND(H12="Low",I12="Big"),"B",IF(AND(H12="Low",I12="Middle"),"C",IF(AND(H12="Low",I12="Small"),"C",""))))))))))</f>
        <v/>
      </c>
      <c r="K12" s="26" t="inlineStr">
        <is>
          <t>Low</t>
        </is>
      </c>
      <c r="L12" s="26" t="inlineStr">
        <is>
          <t>Middle</t>
        </is>
      </c>
      <c r="M12" s="27">
        <f>IF(OR(K12="",L12=""),"",IF(AND(K12="High",L12="Big"),"A",IF(AND(K12="High",L12="Middle"),"A",IF(AND(K12="High",L12="Small"),"B",IF(AND(K12="Middle",L12="Big"),"A",IF(AND(K12="Middle",L12="Middle"),"B",IF(AND(K12="Middle",L12="Small"),"C",IF(AND(K12="Low",L12="Big"),"B",IF(AND(K12="Low",L12="Middle"),"C",IF(AND(K12="Low",L12="Small"),"C",""))))))))))</f>
        <v/>
      </c>
      <c r="N12" s="26" t="inlineStr">
        <is>
          <t>Contingency: Buffer 2 tuần trước cut-over | Residual: Change nhỏ vẫn có thể phát sinh</t>
        </is>
      </c>
      <c r="O12" s="26" t="inlineStr">
        <is>
          <t>02_WBS.xlsx (2.1–2.5) + 01_masterplan.json risks_top R-001</t>
        </is>
      </c>
    </row>
    <row r="13" ht="28" customHeight="1">
      <c r="A13" s="26" t="inlineStr">
        <is>
          <t>R-002</t>
        </is>
      </c>
      <c r="B13" s="26" t="inlineStr">
        <is>
          <t>Technical</t>
        </is>
      </c>
      <c r="C13" s="26" t="inlineStr">
        <is>
          <t>Tích hợp Main System/Logistics qua Integration Middleware + VPN IPSec, 05 luồng đồng bộ; không được nối trực tiếp Main DB</t>
        </is>
      </c>
      <c r="D13" s="26" t="inlineStr">
        <is>
          <t>Trễ kiểm thử tích hợp (SIT) và go-live</t>
        </is>
      </c>
      <c r="E13" s="26" t="inlineStr">
        <is>
          <t>Mitigate</t>
        </is>
      </c>
      <c r="F13" s="26" t="inlineStr">
        <is>
          <t>Prototype middleware sớm trong giai đoạn xây dựng (WBS 4.5: 21/08–09/09); staging đủ dữ liệu; contract test 05 luồng</t>
        </is>
      </c>
      <c r="G13" s="26" t="inlineStr">
        <is>
          <t>SA – Nguyễn Hải Đăng</t>
        </is>
      </c>
      <c r="H13" s="26" t="inlineStr">
        <is>
          <t>High</t>
        </is>
      </c>
      <c r="I13" s="26" t="inlineStr">
        <is>
          <t>Middle</t>
        </is>
      </c>
      <c r="J13" s="27">
        <f>IF(OR(H13="",I13=""),"",IF(AND(H13="High",I13="Big"),"A",IF(AND(H13="High",I13="Middle"),"A",IF(AND(H13="High",I13="Small"),"B",IF(AND(H13="Middle",I13="Big"),"A",IF(AND(H13="Middle",I13="Middle"),"B",IF(AND(H13="Middle",I13="Small"),"C",IF(AND(H13="Low",I13="Big"),"B",IF(AND(H13="Low",I13="Middle"),"C",IF(AND(H13="Low",I13="Small"),"C",""))))))))))</f>
        <v/>
      </c>
      <c r="K13" s="26" t="inlineStr">
        <is>
          <t>Middle</t>
        </is>
      </c>
      <c r="L13" s="26" t="inlineStr">
        <is>
          <t>Small</t>
        </is>
      </c>
      <c r="M13" s="27">
        <f>IF(OR(K13="",L13=""),"",IF(AND(K13="High",L13="Big"),"A",IF(AND(K13="High",L13="Middle"),"A",IF(AND(K13="High",L13="Small"),"B",IF(AND(K13="Middle",L13="Big"),"A",IF(AND(K13="Middle",L13="Middle"),"B",IF(AND(K13="Middle",L13="Small"),"C",IF(AND(K13="Low",L13="Big"),"B",IF(AND(K13="Low",L13="Middle"),"C",IF(AND(K13="Low",L13="Small"),"C",""))))))))))</f>
        <v/>
      </c>
      <c r="N13" s="26" t="inlineStr">
        <is>
          <t>Contingency: Feature flag/rollback; go-live từng phần | Residual: Một số API Main System chậm vẫn ảnh hưởng NFR P95 | Secondary: Phụ thuộc team Main System ABC Wear</t>
        </is>
      </c>
      <c r="O13" s="26" t="inlineStr">
        <is>
          <t>HSDT (Integration Middleware/VPN) + 02_WBS.xlsx 4.5,5.2</t>
        </is>
      </c>
    </row>
    <row r="14" ht="28" customHeight="1">
      <c r="A14" s="26" t="inlineStr">
        <is>
          <t>R-003</t>
        </is>
      </c>
      <c r="B14" s="26" t="inlineStr">
        <is>
          <t>Organization</t>
        </is>
      </c>
      <c r="C14" s="26" t="inlineStr">
        <is>
          <t>End-user/nghiệp vụ ABC Wear tham gia hạn chế; UAT chỉ 21–25/09/2026 sát go-live</t>
        </is>
      </c>
      <c r="D14" s="26" t="inlineStr">
        <is>
          <t>Thiếu nhu cầu thực tế, UAT fail, trễ go-live</t>
        </is>
      </c>
      <c r="E14" s="26" t="inlineStr">
        <is>
          <t>Mitigate</t>
        </is>
      </c>
      <c r="F14" s="26" t="inlineStr">
        <is>
          <t>Lịch workshop bắt buộc; đại diện nghiệp vụ/ key users trong UAT; test case ký trước</t>
        </is>
      </c>
      <c r="G14" s="26" t="inlineStr">
        <is>
          <t>PM – Nguyễn Đức Tân</t>
        </is>
      </c>
      <c r="H14" s="26" t="inlineStr">
        <is>
          <t>Middle</t>
        </is>
      </c>
      <c r="I14" s="26" t="inlineStr">
        <is>
          <t>Middle</t>
        </is>
      </c>
      <c r="J14" s="27">
        <f>IF(OR(H14="",I14=""),"",IF(AND(H14="High",I14="Big"),"A",IF(AND(H14="High",I14="Middle"),"A",IF(AND(H14="High",I14="Small"),"B",IF(AND(H14="Middle",I14="Big"),"A",IF(AND(H14="Middle",I14="Middle"),"B",IF(AND(H14="Middle",I14="Small"),"C",IF(AND(H14="Low",I14="Big"),"B",IF(AND(H14="Low",I14="Middle"),"C",IF(AND(H14="Low",I14="Small"),"C",""))))))))))</f>
        <v/>
      </c>
      <c r="K14" s="26" t="inlineStr">
        <is>
          <t>Low</t>
        </is>
      </c>
      <c r="L14" s="26" t="inlineStr">
        <is>
          <t>Small</t>
        </is>
      </c>
      <c r="M14" s="27">
        <f>IF(OR(K14="",L14=""),"",IF(AND(K14="High",L14="Big"),"A",IF(AND(K14="High",L14="Middle"),"A",IF(AND(K14="High",L14="Small"),"B",IF(AND(K14="Middle",L14="Big"),"A",IF(AND(K14="Middle",L14="Middle"),"B",IF(AND(K14="Middle",L14="Small"),"C",IF(AND(K14="Low",L14="Big"),"B",IF(AND(K14="Low",L14="Middle"),"C",IF(AND(K14="Low",L14="Small"),"C",""))))))))))</f>
        <v/>
      </c>
      <c r="N14" s="26" t="inlineStr">
        <is>
          <t>Contingency: Gia hạn UAT 1 tuần (ảnh hưởng go-live → Sponsor)</t>
        </is>
      </c>
      <c r="O14" s="26" t="inlineStr">
        <is>
          <t>02_WBS.xlsx 5.6 + 01_masterplan.json assumptions</t>
        </is>
      </c>
    </row>
    <row r="15" ht="28" customHeight="1">
      <c r="A15" s="26" t="inlineStr">
        <is>
          <t>R-004</t>
        </is>
      </c>
      <c r="B15" s="26" t="inlineStr">
        <is>
          <t>Technical</t>
        </is>
      </c>
      <c r="C15" s="26" t="inlineStr">
        <is>
          <t>Giải pháp/kiến trúc phải tự phát triển (Next.js SSR/SSG, Multi-AZ, PostgreSQL Master-Replica, Redis, CDN) khó đáp ứng yêu cầu đặc thù nếu dùng lại thành phần có sẵn</t>
        </is>
      </c>
      <c r="D15" s="26" t="inlineStr">
        <is>
          <t>Không đáp ứng đủ yêu cầu nghiệp vụ đặc thù</t>
        </is>
      </c>
      <c r="E15" s="26" t="inlineStr">
        <is>
          <t>Mitigate</t>
        </is>
      </c>
      <c r="F15" s="26" t="inlineStr">
        <is>
          <t>Spike kỹ thuật đầu giai đoạn thiết kế (WBS 3.x); phương án fallback tự phát triển module</t>
        </is>
      </c>
      <c r="G15" s="26" t="inlineStr">
        <is>
          <t>SA – Nguyễn Hải Đăng</t>
        </is>
      </c>
      <c r="H15" s="26" t="inlineStr">
        <is>
          <t>Middle</t>
        </is>
      </c>
      <c r="I15" s="26" t="inlineStr">
        <is>
          <t>Middle</t>
        </is>
      </c>
      <c r="J15" s="27">
        <f>IF(OR(H15="",I15=""),"",IF(AND(H15="High",I15="Big"),"A",IF(AND(H15="High",I15="Middle"),"A",IF(AND(H15="High",I15="Small"),"B",IF(AND(H15="Middle",I15="Big"),"A",IF(AND(H15="Middle",I15="Middle"),"B",IF(AND(H15="Middle",I15="Small"),"C",IF(AND(H15="Low",I15="Big"),"B",IF(AND(H15="Low",I15="Middle"),"C",IF(AND(H15="Low",I15="Small"),"C",""))))))))))</f>
        <v/>
      </c>
      <c r="K15" s="26" t="inlineStr">
        <is>
          <t>Low</t>
        </is>
      </c>
      <c r="L15" s="26" t="inlineStr">
        <is>
          <t>Small</t>
        </is>
      </c>
      <c r="M15" s="27">
        <f>IF(OR(K15="",L15=""),"",IF(AND(K15="High",L15="Big"),"A",IF(AND(K15="High",L15="Middle"),"A",IF(AND(K15="High",L15="Small"),"B",IF(AND(K15="Middle",L15="Big"),"A",IF(AND(K15="Middle",L15="Middle"),"B",IF(AND(K15="Middle",L15="Small"),"C",IF(AND(K15="Low",L15="Big"),"B",IF(AND(K15="Low",L15="Middle"),"C",IF(AND(K15="Low",L15="Small"),"C",""))))))))))</f>
        <v/>
      </c>
      <c r="N15" s="26" t="n"/>
      <c r="O15" s="26" t="inlineStr">
        <is>
          <t>HSDT kiến trúc + 01_masterplan.json risks_top R-004</t>
        </is>
      </c>
    </row>
    <row r="16" ht="28" customHeight="1">
      <c r="A16" s="26" t="inlineStr">
        <is>
          <t>R-005</t>
        </is>
      </c>
      <c r="B16" s="26" t="inlineStr">
        <is>
          <t>Organization</t>
        </is>
      </c>
      <c r="C16" s="26" t="inlineStr">
        <is>
          <t>Khối lượng 3.684 giờ trong ~6 tháng với 10 nhân sự chủ chốt; tải bắt buộc tăng cường 03 DEV và 02 QC</t>
        </is>
      </c>
      <c r="D16" s="26" t="inlineStr">
        <is>
          <t>Tiến độ dự án bị chậm do thiếu/thay đổi nhân sự chủ chốt</t>
        </is>
      </c>
      <c r="E16" s="26" t="inlineStr">
        <is>
          <t>Mitigate</t>
        </is>
      </c>
      <c r="F16" s="26" t="inlineStr">
        <is>
          <t>Tuyển/borrow nhân sự dự phòng; ưu tiên critical path; cross-training</t>
        </is>
      </c>
      <c r="G16" s="26" t="inlineStr">
        <is>
          <t>PM – Nguyễn Đức Tân</t>
        </is>
      </c>
      <c r="H16" s="26" t="inlineStr">
        <is>
          <t>Middle</t>
        </is>
      </c>
      <c r="I16" s="26" t="inlineStr">
        <is>
          <t>Big</t>
        </is>
      </c>
      <c r="J16" s="27">
        <f>IF(OR(H16="",I16=""),"",IF(AND(H16="High",I16="Big"),"A",IF(AND(H16="High",I16="Middle"),"A",IF(AND(H16="High",I16="Small"),"B",IF(AND(H16="Middle",I16="Big"),"A",IF(AND(H16="Middle",I16="Middle"),"B",IF(AND(H16="Middle",I16="Small"),"C",IF(AND(H16="Low",I16="Big"),"B",IF(AND(H16="Low",I16="Middle"),"C",IF(AND(H16="Low",I16="Small"),"C",""))))))))))</f>
        <v/>
      </c>
      <c r="K16" s="26" t="inlineStr">
        <is>
          <t>Low</t>
        </is>
      </c>
      <c r="L16" s="26" t="inlineStr">
        <is>
          <t>Middle</t>
        </is>
      </c>
      <c r="M16" s="27">
        <f>IF(OR(K16="",L16=""),"",IF(AND(K16="High",L16="Big"),"A",IF(AND(K16="High",L16="Middle"),"A",IF(AND(K16="High",L16="Small"),"B",IF(AND(K16="Middle",L16="Big"),"A",IF(AND(K16="Middle",L16="Middle"),"B",IF(AND(K16="Middle",L16="Small"),"C",IF(AND(K16="Low",L16="Big"),"B",IF(AND(K16="Low",L16="Middle"),"C",IF(AND(K16="Low",L16="Small"),"C",""))))))))))</f>
        <v/>
      </c>
      <c r="N16" s="26" t="n"/>
      <c r="O16" s="26" t="inlineStr">
        <is>
          <t>HSDT (3.684 giờ, 10 nhân sự) + 01_masterplan.json roles</t>
        </is>
      </c>
    </row>
    <row r="17" ht="28" customHeight="1">
      <c r="A17" s="26" t="inlineStr">
        <is>
          <t>R-006</t>
        </is>
      </c>
      <c r="B17" s="26" t="inlineStr">
        <is>
          <t>System</t>
        </is>
      </c>
      <c r="C17" s="26" t="inlineStr">
        <is>
          <t>Lệch baseline lịch giữa các nguồn: HSDT 25/11/2026, WBS 01/10/2026, RFP/HSMT 01/07 (2027), Master Schedule 28/10/2026</t>
        </is>
      </c>
      <c r="D17" s="26" t="inlineStr">
        <is>
          <t>Tranh chấp mốc go-live/nghiệm thu, trễ bàn giao hoặc bị phạt</t>
        </is>
      </c>
      <c r="E17" s="26" t="inlineStr">
        <is>
          <t>Mitigate</t>
        </is>
      </c>
      <c r="F17" s="26" t="inlineStr">
        <is>
          <t>Chốt 01 baseline duy nhất = WBS (Decision Q-R01); cập nhật HSDT/Master Schedule cho khớp; ghi rõ trong biên bản với ABC Wear; mọi đổi mốc phải qua Change Request</t>
        </is>
      </c>
      <c r="G17" s="26" t="inlineStr">
        <is>
          <t>PM – Nguyễn Đức Tân</t>
        </is>
      </c>
      <c r="H17" s="26" t="inlineStr">
        <is>
          <t>Middle</t>
        </is>
      </c>
      <c r="I17" s="26" t="inlineStr">
        <is>
          <t>Big</t>
        </is>
      </c>
      <c r="J17" s="27">
        <f>IF(OR(H17="",I17=""),"",IF(AND(H17="High",I17="Big"),"A",IF(AND(H17="High",I17="Middle"),"A",IF(AND(H17="High",I17="Small"),"B",IF(AND(H17="Middle",I17="Big"),"A",IF(AND(H17="Middle",I17="Middle"),"B",IF(AND(H17="Middle",I17="Small"),"C",IF(AND(H17="Low",I17="Big"),"B",IF(AND(H17="Low",I17="Middle"),"C",IF(AND(H17="Low",I17="Small"),"C",""))))))))))</f>
        <v/>
      </c>
      <c r="K17" s="26" t="inlineStr">
        <is>
          <t>Low</t>
        </is>
      </c>
      <c r="L17" s="26" t="inlineStr">
        <is>
          <t>Middle</t>
        </is>
      </c>
      <c r="M17" s="27">
        <f>IF(OR(K17="",L17=""),"",IF(AND(K17="High",L17="Big"),"A",IF(AND(K17="High",L17="Middle"),"A",IF(AND(K17="High",L17="Small"),"B",IF(AND(K17="Middle",L17="Big"),"A",IF(AND(K17="Middle",L17="Middle"),"B",IF(AND(K17="Middle",L17="Small"),"C",IF(AND(K17="Low",L17="Big"),"B",IF(AND(K17="Low",L17="Middle"),"C",IF(AND(K17="Low",L17="Small"),"C",""))))))))))</f>
        <v/>
      </c>
      <c r="N17" s="26" t="inlineStr">
        <is>
          <t>Contingency: Nếu bị ép mốc 01/07 → apply Change Request + cost/schedule impact | Residual: Vẫn có rủi ro tranh cãi hợp đồng | Secondary: Phát sinh issue thay đổi phạm vi</t>
        </is>
      </c>
      <c r="O17" s="26" t="inlineStr">
        <is>
          <t>F-R03, F-R10, F-R09; Decision Q-MP08</t>
        </is>
      </c>
    </row>
    <row r="18" ht="28" customHeight="1">
      <c r="A18" s="26" t="inlineStr">
        <is>
          <t>R-007</t>
        </is>
      </c>
      <c r="B18" s="26" t="inlineStr">
        <is>
          <t>Technical</t>
        </is>
      </c>
      <c r="C18" s="26" t="inlineStr">
        <is>
          <t>Cửa sổ kiểm thử bị nén: xây dựng kết thúc 11/09, SIT 14–21/09, hiệu năng 14–22/09, ATTT 18–22/09, UAT 21–25/09, go-live 01/10 — không có buffer</t>
        </is>
      </c>
      <c r="D18" s="26" t="inlineStr">
        <is>
          <t>Lỗi nghiêm trọng phát hiện muộn, trượt go-live 01/10/2026</t>
        </is>
      </c>
      <c r="E18" s="26" t="inlineStr">
        <is>
          <t>Mitigate</t>
        </is>
      </c>
      <c r="F18" s="26" t="inlineStr">
        <is>
          <t>Dịch chuyển kiểm thử sớm (shift-left) song song xây dựng; tự động hóa regression; freeze code trước SIT; ưu tiên luồng đặt hàng–thanh toán</t>
        </is>
      </c>
      <c r="G18" s="26" t="inlineStr">
        <is>
          <t>QC1 – Nguyễn Hữu C</t>
        </is>
      </c>
      <c r="H18" s="26" t="inlineStr">
        <is>
          <t>High</t>
        </is>
      </c>
      <c r="I18" s="26" t="inlineStr">
        <is>
          <t>Middle</t>
        </is>
      </c>
      <c r="J18" s="27">
        <f>IF(OR(H18="",I18=""),"",IF(AND(H18="High",I18="Big"),"A",IF(AND(H18="High",I18="Middle"),"A",IF(AND(H18="High",I18="Small"),"B",IF(AND(H18="Middle",I18="Big"),"A",IF(AND(H18="Middle",I18="Middle"),"B",IF(AND(H18="Middle",I18="Small"),"C",IF(AND(H18="Low",I18="Big"),"B",IF(AND(H18="Low",I18="Middle"),"C",IF(AND(H18="Low",I18="Small"),"C",""))))))))))</f>
        <v/>
      </c>
      <c r="K18" s="26" t="inlineStr">
        <is>
          <t>Middle</t>
        </is>
      </c>
      <c r="L18" s="26" t="inlineStr">
        <is>
          <t>Small</t>
        </is>
      </c>
      <c r="M18" s="27">
        <f>IF(OR(K18="",L18=""),"",IF(AND(K18="High",L18="Big"),"A",IF(AND(K18="High",L18="Middle"),"A",IF(AND(K18="High",L18="Small"),"B",IF(AND(K18="Middle",L18="Big"),"A",IF(AND(K18="Middle",L18="Middle"),"B",IF(AND(K18="Middle",L18="Small"),"C",IF(AND(K18="Low",L18="Big"),"B",IF(AND(K18="Low",L18="Middle"),"C",IF(AND(K18="Low",L18="Small"),"C",""))))))))))</f>
        <v/>
      </c>
      <c r="N18" s="26" t="inlineStr">
        <is>
          <t>Contingency: Cut-over một phần + hotfix sau go-live | Residual: Một số lỗi nhỏ tồn đọng vào hypercare | Secondary: Tăng chi phí sửa lỗi ngoài kế hoạch</t>
        </is>
      </c>
      <c r="O18" s="26" t="inlineStr">
        <is>
          <t>02_WBS.xlsx (4,5,6) — nén lịch; F-R04</t>
        </is>
      </c>
    </row>
    <row r="19" ht="28" customHeight="1">
      <c r="A19" s="26" t="inlineStr">
        <is>
          <t>R-008</t>
        </is>
      </c>
      <c r="B19" s="26" t="inlineStr">
        <is>
          <t>Organization</t>
        </is>
      </c>
      <c r="C19" s="26" t="inlineStr">
        <is>
          <t>Hợp đồng trọn gói, giá cố định 897.600.000 VNĐ (đã VAT); cân đối dương chỉ +264.000 VNĐ; không phát sinh thanh toán ngoài hạng mục đã chào</t>
        </is>
      </c>
      <c r="D19" s="26" t="inlineStr">
        <is>
          <t>Phát sinh khối lượng/chi phí (OT, sửa lỗi, hạ tầng) làm dự án lỗ</t>
        </is>
      </c>
      <c r="E19" s="26" t="inlineStr">
        <is>
          <t>Mitigate</t>
        </is>
      </c>
      <c r="F19" s="26" t="inlineStr">
        <is>
          <t>Kiểm soát change chặt theo Change Management Plan; log giờ theo WBS 3.684 giờ; cảnh báo sớm lệch estimate; đàm phán phụ lục khi vượt phạm vi</t>
        </is>
      </c>
      <c r="G19" s="26" t="inlineStr">
        <is>
          <t>PM – Nguyễn Đức Tân</t>
        </is>
      </c>
      <c r="H19" s="26" t="inlineStr">
        <is>
          <t>Middle</t>
        </is>
      </c>
      <c r="I19" s="26" t="inlineStr">
        <is>
          <t>Big</t>
        </is>
      </c>
      <c r="J19" s="27">
        <f>IF(OR(H19="",I19=""),"",IF(AND(H19="High",I19="Big"),"A",IF(AND(H19="High",I19="Middle"),"A",IF(AND(H19="High",I19="Small"),"B",IF(AND(H19="Middle",I19="Big"),"A",IF(AND(H19="Middle",I19="Middle"),"B",IF(AND(H19="Middle",I19="Small"),"C",IF(AND(H19="Low",I19="Big"),"B",IF(AND(H19="Low",I19="Middle"),"C",IF(AND(H19="Low",I19="Small"),"C",""))))))))))</f>
        <v/>
      </c>
      <c r="K19" s="26" t="inlineStr">
        <is>
          <t>Middle</t>
        </is>
      </c>
      <c r="L19" s="26" t="inlineStr">
        <is>
          <t>Middle</t>
        </is>
      </c>
      <c r="M19" s="27">
        <f>IF(OR(K19="",L19=""),"",IF(AND(K19="High",L19="Big"),"A",IF(AND(K19="High",L19="Middle"),"A",IF(AND(K19="High",L19="Small"),"B",IF(AND(K19="Middle",L19="Big"),"A",IF(AND(K19="Middle",L19="Middle"),"B",IF(AND(K19="Middle",L19="Small"),"C",IF(AND(K19="Low",L19="Big"),"B",IF(AND(K19="Low",L19="Middle"),"C",IF(AND(K19="Low",L19="Small"),"C",""))))))))))</f>
        <v/>
      </c>
      <c r="N19" s="26" t="inlineStr">
        <is>
          <t>Contingency: Contingency budgeting (chờ Q-R03) + phụ lục hợp đồng | Residual: Chi phí cơ hội/ lợi nhuận mỏng</t>
        </is>
      </c>
      <c r="O19" s="26" t="inlineStr">
        <is>
          <t>F-R02, F-R08</t>
        </is>
      </c>
    </row>
    <row r="20" ht="28" customHeight="1">
      <c r="A20" s="26" t="inlineStr">
        <is>
          <t>R-009</t>
        </is>
      </c>
      <c r="B20" s="26" t="inlineStr">
        <is>
          <t>Technical</t>
        </is>
      </c>
      <c r="C20" s="26" t="inlineStr">
        <is>
          <t>Luồng thanh toán phức tạp: thẻ/ví/QR/COD, VNPay/MoMo/VietQR, callback/IPN, giao dịch treo, hoàn tiền, đối soát hằng ngày</t>
        </is>
      </c>
      <c r="D20" s="26" t="inlineStr">
        <is>
          <t>Sai/treo giao dịch, hoàn tiền chậm, lệch đối soát → khiếu nại khách hàng, mất doanh thu</t>
        </is>
      </c>
      <c r="E20" s="26" t="inlineStr">
        <is>
          <t>Mitigate</t>
        </is>
      </c>
      <c r="F20" s="26" t="inlineStr">
        <is>
          <t>Idempotency + retry cho IPN; đối soát tự động hằng ngày; test case giao dịch treo/hoàn tiền; giám sát alert</t>
        </is>
      </c>
      <c r="G20" s="26" t="inlineStr">
        <is>
          <t>DEV3 – Nguyễn Ngọc B</t>
        </is>
      </c>
      <c r="H20" s="26" t="inlineStr">
        <is>
          <t>Middle</t>
        </is>
      </c>
      <c r="I20" s="26" t="inlineStr">
        <is>
          <t>Middle</t>
        </is>
      </c>
      <c r="J20" s="27">
        <f>IF(OR(H20="",I20=""),"",IF(AND(H20="High",I20="Big"),"A",IF(AND(H20="High",I20="Middle"),"A",IF(AND(H20="High",I20="Small"),"B",IF(AND(H20="Middle",I20="Big"),"A",IF(AND(H20="Middle",I20="Middle"),"B",IF(AND(H20="Middle",I20="Small"),"C",IF(AND(H20="Low",I20="Big"),"B",IF(AND(H20="Low",I20="Middle"),"C",IF(AND(H20="Low",I20="Small"),"C",""))))))))))</f>
        <v/>
      </c>
      <c r="K20" s="26" t="inlineStr">
        <is>
          <t>Low</t>
        </is>
      </c>
      <c r="L20" s="26" t="inlineStr">
        <is>
          <t>Middle</t>
        </is>
      </c>
      <c r="M20" s="27">
        <f>IF(OR(K20="",L20=""),"",IF(AND(K20="High",L20="Big"),"A",IF(AND(K20="High",L20="Middle"),"A",IF(AND(K20="High",L20="Small"),"B",IF(AND(K20="Middle",L20="Big"),"A",IF(AND(K20="Middle",L20="Middle"),"B",IF(AND(K20="Middle",L20="Small"),"C",IF(AND(K20="Low",L20="Big"),"B",IF(AND(K20="Low",L20="Middle"),"C",IF(AND(K20="Low",L20="Small"),"C",""))))))))))</f>
        <v/>
      </c>
      <c r="N20" s="26" t="inlineStr">
        <is>
          <t>Contingency: Đối soát thủ công tạm thời + đối chiếu với cổng thanh toán | Residual: Một số giao dịch hiếm vẫn cần xử lý tay</t>
        </is>
      </c>
      <c r="O20" s="26" t="inlineStr">
        <is>
          <t>F-R07; HSDT luồng thanh toán</t>
        </is>
      </c>
    </row>
    <row r="21" ht="28" customHeight="1">
      <c r="A21" s="26" t="inlineStr">
        <is>
          <t>R-010</t>
        </is>
      </c>
      <c r="B21" s="26" t="inlineStr">
        <is>
          <t>Regulatory</t>
        </is>
      </c>
      <c r="C21" s="26" t="inlineStr">
        <is>
          <t>Xử lý dữ liệu cá nhân khách hàng (đăng ký, OTP, sổ địa chỉ, lịch sử mua) theo NĐ 13/2023/NĐ-CP và yêu cầu ATTT (OWASP)</t>
        </is>
      </c>
      <c r="D21" s="26" t="inlineStr">
        <is>
          <t>Chế tài/vi phạm bảo vệ dữ liệu cá nhân; sự cố rò rỉ dữ liệu</t>
        </is>
      </c>
      <c r="E21" s="26" t="inlineStr">
        <is>
          <t>Mitigate</t>
        </is>
      </c>
      <c r="F21" s="26" t="inlineStr">
        <is>
          <t>Thiết kế bảo mật (WBS 3.1.3); mã hóa dữ liệu nhạy cảm; phân quyền; quét OWASP ZAP trước go-live; ghi nhận consent</t>
        </is>
      </c>
      <c r="G21" s="26" t="inlineStr">
        <is>
          <t>SA – Nguyễn Hải Đăng</t>
        </is>
      </c>
      <c r="H21" s="26" t="inlineStr">
        <is>
          <t>Low</t>
        </is>
      </c>
      <c r="I21" s="26" t="inlineStr">
        <is>
          <t>Big</t>
        </is>
      </c>
      <c r="J21" s="27">
        <f>IF(OR(H21="",I21=""),"",IF(AND(H21="High",I21="Big"),"A",IF(AND(H21="High",I21="Middle"),"A",IF(AND(H21="High",I21="Small"),"B",IF(AND(H21="Middle",I21="Big"),"A",IF(AND(H21="Middle",I21="Middle"),"B",IF(AND(H21="Middle",I21="Small"),"C",IF(AND(H21="Low",I21="Big"),"B",IF(AND(H21="Low",I21="Middle"),"C",IF(AND(H21="Low",I21="Small"),"C",""))))))))))</f>
        <v/>
      </c>
      <c r="K21" s="26" t="inlineStr">
        <is>
          <t>Low</t>
        </is>
      </c>
      <c r="L21" s="26" t="inlineStr">
        <is>
          <t>Middle</t>
        </is>
      </c>
      <c r="M21" s="27">
        <f>IF(OR(K21="",L21=""),"",IF(AND(K21="High",L21="Big"),"A",IF(AND(K21="High",L21="Middle"),"A",IF(AND(K21="High",L21="Small"),"B",IF(AND(K21="Middle",L21="Big"),"A",IF(AND(K21="Middle",L21="Middle"),"B",IF(AND(K21="Middle",L21="Small"),"C",IF(AND(K21="Low",L21="Big"),"B",IF(AND(K21="Low",L21="Middle"),"C",IF(AND(K21="Low",L21="Small"),"C",""))))))))))</f>
        <v/>
      </c>
      <c r="N21" s="26" t="inlineStr">
        <is>
          <t>Contingency: Kế hoạch ứng cứu sự cố + thông báo cơ quan theo quy định | Residual: Rủi ro pháp lý nền luôn tồn tại</t>
        </is>
      </c>
      <c r="O21" s="26" t="inlineStr">
        <is>
          <t>F-R07; HSDT NĐ 13/2023 + WBS 3.1.3</t>
        </is>
      </c>
    </row>
    <row r="22" ht="28" customHeight="1">
      <c r="A22" s="26" t="inlineStr">
        <is>
          <t>R-011</t>
        </is>
      </c>
      <c r="B22" s="26" t="inlineStr">
        <is>
          <t>System</t>
        </is>
      </c>
      <c r="C22" s="26" t="inlineStr">
        <is>
          <t>Phụ thuộc sẵn sàng hạ tầng/API Main System, môi trường VPN IPSec và dữ liệu do ABC Wear cung cấp — FYI: hàng chờ môi trường, thủ tục mạng nội bộ</t>
        </is>
      </c>
      <c r="D22" s="26" t="inlineStr">
        <is>
          <t>Chậm bàn giao môi trường/truy cập → trễ tích hợp và kiểm thử</t>
        </is>
      </c>
      <c r="E22" s="26" t="inlineStr">
        <is>
          <t>Mitigate</t>
        </is>
      </c>
      <c r="F22" s="26" t="inlineStr">
        <is>
          <t>Kế hoạch yêu cầu môi trường/truy cập theo mốc WBS ngay từ kickoff; đầu mối kỹ thuật ABC Wear; checklist hạ tầng ký trước 21/08</t>
        </is>
      </c>
      <c r="G22" s="26" t="inlineStr">
        <is>
          <t>OPS – Trần Hùng E</t>
        </is>
      </c>
      <c r="H22" s="26" t="inlineStr">
        <is>
          <t>Middle</t>
        </is>
      </c>
      <c r="I22" s="26" t="inlineStr">
        <is>
          <t>Middle</t>
        </is>
      </c>
      <c r="J22" s="27">
        <f>IF(OR(H22="",I22=""),"",IF(AND(H22="High",I22="Big"),"A",IF(AND(H22="High",I22="Middle"),"A",IF(AND(H22="High",I22="Small"),"B",IF(AND(H22="Middle",I22="Big"),"A",IF(AND(H22="Middle",I22="Middle"),"B",IF(AND(H22="Middle",I22="Small"),"C",IF(AND(H22="Low",I22="Big"),"B",IF(AND(H22="Low",I22="Middle"),"C",IF(AND(H22="Low",I22="Small"),"C",""))))))))))</f>
        <v/>
      </c>
      <c r="K22" s="26" t="inlineStr">
        <is>
          <t>Low</t>
        </is>
      </c>
      <c r="L22" s="26" t="inlineStr">
        <is>
          <t>Middle</t>
        </is>
      </c>
      <c r="M22" s="27">
        <f>IF(OR(K22="",L22=""),"",IF(AND(K22="High",L22="Big"),"A",IF(AND(K22="High",L22="Middle"),"A",IF(AND(K22="High",L22="Small"),"B",IF(AND(K22="Middle",L22="Big"),"A",IF(AND(K22="Middle",L22="Middle"),"B",IF(AND(K22="Middle",L22="Small"),"C",IF(AND(K22="Low",L22="Big"),"B",IF(AND(K22="Low",L22="Middle"),"C",IF(AND(K22="Low",L22="Small"),"C",""))))))))))</f>
        <v/>
      </c>
      <c r="N22" s="26" t="inlineStr">
        <is>
          <t>Contingency: Môi trường mock/sandbox để phát triển song song | Residual: Vẫn phụ thuộc bên thứ ba | Secondary: Lệch cấu hình giữa mock và thật</t>
        </is>
      </c>
      <c r="O22" s="26" t="inlineStr">
        <is>
          <t>F-R06; 01_masterplan.json assumptions</t>
        </is>
      </c>
    </row>
    <row r="23" ht="28" customHeight="1">
      <c r="A23" s="26" t="inlineStr">
        <is>
          <t>R-012</t>
        </is>
      </c>
      <c r="B23" s="26" t="inlineStr">
        <is>
          <t>Organization</t>
        </is>
      </c>
      <c r="C23" s="26" t="inlineStr">
        <is>
          <t>Cam kết bảo hành toàn diện 12 tháng + hỗ trợ 24/7 sau nghiệm thu, ngoài khoảng thời gian báo giá dự án (22/06–30/10/2026)</t>
        </is>
      </c>
      <c r="D23" s="26" t="inlineStr">
        <is>
          <t>Chi phí hỗ trợ/bảo hành phát sinh sau nghiệm thu làm giảm lợi nhuận</t>
        </is>
      </c>
      <c r="E23" s="26" t="inlineStr">
        <is>
          <t>Accept</t>
        </is>
      </c>
      <c r="F23" s="26" t="inlineStr">
        <is>
          <t>Theo dõi ticket trong 12 tháng; phân loại lỗi thật (do nhà thầu) vs yêu cầu mới; ghi nhận để cải tiến ước lượng</t>
        </is>
      </c>
      <c r="G23" s="26" t="inlineStr">
        <is>
          <t>PM – Nguyễn Đức Tân</t>
        </is>
      </c>
      <c r="H23" s="26" t="inlineStr">
        <is>
          <t>Middle</t>
        </is>
      </c>
      <c r="I23" s="26" t="inlineStr">
        <is>
          <t>Small</t>
        </is>
      </c>
      <c r="J23" s="27">
        <f>IF(OR(H23="",I23=""),"",IF(AND(H23="High",I23="Big"),"A",IF(AND(H23="High",I23="Middle"),"A",IF(AND(H23="High",I23="Small"),"B",IF(AND(H23="Middle",I23="Big"),"A",IF(AND(H23="Middle",I23="Middle"),"B",IF(AND(H23="Middle",I23="Small"),"C",IF(AND(H23="Low",I23="Big"),"B",IF(AND(H23="Low",I23="Middle"),"C",IF(AND(H23="Low",I23="Small"),"C",""))))))))))</f>
        <v/>
      </c>
      <c r="K23" s="26" t="n"/>
      <c r="L23" s="26" t="n"/>
      <c r="M23" s="27">
        <f>IF(OR(K23="",L23=""),"",IF(AND(K23="High",L23="Big"),"A",IF(AND(K23="High",L23="Middle"),"A",IF(AND(K23="High",L23="Small"),"B",IF(AND(K23="Middle",L23="Big"),"A",IF(AND(K23="Middle",L23="Middle"),"B",IF(AND(K23="Middle",L23="Small"),"C",IF(AND(K23="Low",L23="Big"),"B",IF(AND(K23="Low",L23="Middle"),"C",IF(AND(K23="Low",L23="Small"),"C",""))))))))))</f>
        <v/>
      </c>
      <c r="N23" s="26" t="inlineStr">
        <is>
          <t>Contingency: Phụ lục hỗ trợ mở rộng nếu ABC Wear yêu cầu ngoài cam kết | Residual: Một số lỗi logic phải sửa miễn phí theo hợp đồng</t>
        </is>
      </c>
      <c r="O23" s="26" t="inlineStr">
        <is>
          <t>F-R08; HSDT mục 3.3</t>
        </is>
      </c>
    </row>
    <row r="24" ht="28" customHeight="1">
      <c r="A24" s="26" t="inlineStr">
        <is>
          <t>R-013</t>
        </is>
      </c>
      <c r="B24" s="26" t="inlineStr">
        <is>
          <t>System</t>
        </is>
      </c>
      <c r="C24" s="26" t="inlineStr">
        <is>
          <t>Chất lượng dữ liệu baseline: file WBS có ô lỗi công thức (#REF!/#ERROR!/#NAME?) và mã WBS sai dạng ngày</t>
        </is>
      </c>
      <c r="D24" s="26" t="inlineStr">
        <is>
          <t>Báo cáo tiến độ/baseline sai, đánh giá lệch tiến độ</t>
        </is>
      </c>
      <c r="E24" s="26" t="inlineStr">
        <is>
          <t>Mitigate</t>
        </is>
      </c>
      <c r="F24" s="26" t="inlineStr">
        <is>
          <t>Làm sạch WBS trước khi chốt baseline; kiểm tra chéo WBS–Master Schedule; PM review dữ liệu hằng tuần</t>
        </is>
      </c>
      <c r="G24" s="26" t="inlineStr">
        <is>
          <t>PM – Nguyễn Đức Tân</t>
        </is>
      </c>
      <c r="H24" s="26" t="inlineStr">
        <is>
          <t>Middle</t>
        </is>
      </c>
      <c r="I24" s="26" t="inlineStr">
        <is>
          <t>Small</t>
        </is>
      </c>
      <c r="J24" s="27">
        <f>IF(OR(H24="",I24=""),"",IF(AND(H24="High",I24="Big"),"A",IF(AND(H24="High",I24="Middle"),"A",IF(AND(H24="High",I24="Small"),"B",IF(AND(H24="Middle",I24="Big"),"A",IF(AND(H24="Middle",I24="Middle"),"B",IF(AND(H24="Middle",I24="Small"),"C",IF(AND(H24="Low",I24="Big"),"B",IF(AND(H24="Low",I24="Middle"),"C",IF(AND(H24="Low",I24="Small"),"C",""))))))))))</f>
        <v/>
      </c>
      <c r="K24" s="26" t="inlineStr">
        <is>
          <t>Low</t>
        </is>
      </c>
      <c r="L24" s="26" t="inlineStr">
        <is>
          <t>Small</t>
        </is>
      </c>
      <c r="M24" s="27">
        <f>IF(OR(K24="",L24=""),"",IF(AND(K24="High",L24="Big"),"A",IF(AND(K24="High",L24="Middle"),"A",IF(AND(K24="High",L24="Small"),"B",IF(AND(K24="Middle",L24="Big"),"A",IF(AND(K24="Middle",L24="Middle"),"B",IF(AND(K24="Middle",L24="Small"),"C",IF(AND(K24="Low",L24="Big"),"B",IF(AND(K24="Low",L24="Middle"),"C",IF(AND(K24="Low",L24="Small"),"C",""))))))))))</f>
        <v/>
      </c>
      <c r="N24" s="26" t="inlineStr">
        <is>
          <t>Contingency: Báo cáo tiến độ bằng nguồn chuẩn hoá (Master Plan) | Residual: Sai số nhỏ trong báo cáo</t>
        </is>
      </c>
      <c r="O24" s="26" t="inlineStr">
        <is>
          <t>F-R11; 02_WBS.xlsx</t>
        </is>
      </c>
    </row>
    <row r="25" ht="28" customHeight="1">
      <c r="A25" s="26" t="inlineStr">
        <is>
          <t>R-014</t>
        </is>
      </c>
      <c r="B25" s="26" t="inlineStr">
        <is>
          <t>Vendor</t>
        </is>
      </c>
      <c r="C25" s="26" t="inlineStr">
        <is>
          <t>Thuê ngoài/thầu phụ phải được ABC Wear cho phép bằng văn bản; hạn mức thầu phụ 20% giá gói thầu</t>
        </is>
      </c>
      <c r="D25" s="26" t="inlineStr">
        <is>
          <t>Chậm nguồn lực hoặc không được chấp thuận → trễ tiến độ</t>
        </is>
      </c>
      <c r="E25" s="26" t="inlineStr">
        <is>
          <t>Accept</t>
        </is>
      </c>
      <c r="F25" s="26" t="inlineStr">
        <is>
          <t>Chủ động triển khai trong nội bộ 10 nhân sự; nếu cần thầu phụ thì xin phép sớm và ≤20%</t>
        </is>
      </c>
      <c r="G25" s="26" t="inlineStr">
        <is>
          <t>PM – Nguyễn Đức Tân</t>
        </is>
      </c>
      <c r="H25" s="26" t="inlineStr">
        <is>
          <t>Low</t>
        </is>
      </c>
      <c r="I25" s="26" t="inlineStr">
        <is>
          <t>Middle</t>
        </is>
      </c>
      <c r="J25" s="27">
        <f>IF(OR(H25="",I25=""),"",IF(AND(H25="High",I25="Big"),"A",IF(AND(H25="High",I25="Middle"),"A",IF(AND(H25="High",I25="Small"),"B",IF(AND(H25="Middle",I25="Big"),"A",IF(AND(H25="Middle",I25="Middle"),"B",IF(AND(H25="Middle",I25="Small"),"C",IF(AND(H25="Low",I25="Big"),"B",IF(AND(H25="Low",I25="Middle"),"C",IF(AND(H25="Low",I25="Small"),"C",""))))))))))</f>
        <v/>
      </c>
      <c r="K25" s="26" t="n"/>
      <c r="L25" s="26" t="n"/>
      <c r="M25" s="27">
        <f>IF(OR(K25="",L25=""),"",IF(AND(K25="High",L25="Big"),"A",IF(AND(K25="High",L25="Middle"),"A",IF(AND(K25="High",L25="Small"),"B",IF(AND(K25="Middle",L25="Big"),"A",IF(AND(K25="Middle",L25="Middle"),"B",IF(AND(K25="Middle",L25="Small"),"C",IF(AND(K25="Low",L25="Big"),"B",IF(AND(K25="Low",L25="Middle"),"C",IF(AND(K25="Low",L25="Small"),"C",""))))))))))</f>
        <v/>
      </c>
      <c r="N25" s="26" t="inlineStr">
        <is>
          <t>Contingency: Kế hoạch nhân sự dự phòng nội bộ | Residual: Phụ thuộc phê duyệt của Chủ đầu tư</t>
        </is>
      </c>
      <c r="O25" s="26" t="inlineStr">
        <is>
          <t>F-R12; RFP + HSMT 27.2</t>
        </is>
      </c>
    </row>
    <row r="26" ht="28" customHeight="1">
      <c r="A26" s="26" t="inlineStr">
        <is>
          <t>R-015</t>
        </is>
      </c>
      <c r="B26" s="26" t="inlineStr">
        <is>
          <t>Regulatory</t>
        </is>
      </c>
      <c r="C26" s="26" t="inlineStr">
        <is>
          <t>Không nhất quán bảo đảm dự thầu: HSMT 18.9 ghi 'Không áp dụng' trong khi HSDT có BĐDT 1% (8.976.000 VNĐ); nội bộ HSDT mâu thuẫn hiệu lực (180 ngày từ 15/06/2026 vs 6 tháng từ 01/06/2026)</t>
        </is>
      </c>
      <c r="D26" s="26" t="inlineStr">
        <is>
          <t>Hồ sơ không nhất quán → rủi ro pháp lý/đấu thầu và tranh chấp khi ký hợp đồng</t>
        </is>
      </c>
      <c r="E26" s="26" t="inlineStr">
        <is>
          <t>Mitigate</t>
        </is>
      </c>
      <c r="F26" s="26" t="inlineStr">
        <is>
          <t>Theo Decision Q-R08 (ưu tiên HSDT): cập nhật HSMT 18.9/18.2 sang Áp dụng, giá trị 8.976.000 VNĐ; sửa hiệu lực BĐDT cho nhất quán; lấy xác nhận văn bản của ABC Wear</t>
        </is>
      </c>
      <c r="G26" s="26" t="inlineStr">
        <is>
          <t>PM – Nguyễn Đức Tân</t>
        </is>
      </c>
      <c r="H26" s="26" t="inlineStr">
        <is>
          <t>Middle</t>
        </is>
      </c>
      <c r="I26" s="26" t="inlineStr">
        <is>
          <t>Big</t>
        </is>
      </c>
      <c r="J26" s="27">
        <f>IF(OR(H26="",I26=""),"",IF(AND(H26="High",I26="Big"),"A",IF(AND(H26="High",I26="Middle"),"A",IF(AND(H26="High",I26="Small"),"B",IF(AND(H26="Middle",I26="Big"),"A",IF(AND(H26="Middle",I26="Middle"),"B",IF(AND(H26="Middle",I26="Small"),"C",IF(AND(H26="Low",I26="Big"),"B",IF(AND(H26="Low",I26="Middle"),"C",IF(AND(H26="Low",I26="Small"),"C",""))))))))))</f>
        <v/>
      </c>
      <c r="K26" s="26" t="inlineStr">
        <is>
          <t>Low</t>
        </is>
      </c>
      <c r="L26" s="26" t="inlineStr">
        <is>
          <t>Middle</t>
        </is>
      </c>
      <c r="M26" s="27">
        <f>IF(OR(K26="",L26=""),"",IF(AND(K26="High",L26="Big"),"A",IF(AND(K26="High",L26="Middle"),"A",IF(AND(K26="High",L26="Small"),"B",IF(AND(K26="Middle",L26="Big"),"A",IF(AND(K26="Middle",L26="Middle"),"B",IF(AND(K26="Middle",L26="Small"),"C",IF(AND(K26="Low",L26="Big"),"B",IF(AND(K26="Low",L26="Middle"),"C",IF(AND(K26="Low",L26="Small"),"C",""))))))))))</f>
        <v/>
      </c>
      <c r="N26" s="26" t="inlineStr">
        <is>
          <t>Contingency: Gia hạn/điều chỉnh thư bảo lãnh BIDV Hà Thành khi được yêu cầu | Residual: Chi phí/gia hạn BĐDT có thể phát sinh</t>
        </is>
      </c>
      <c r="O26" s="26" t="inlineStr">
        <is>
          <t>F-R09; HSDT BĐDT + 01_hsmt.json 18.9</t>
        </is>
      </c>
    </row>
    <row r="27" ht="28" customHeight="1">
      <c r="A27" s="26" t="inlineStr">
        <is>
          <t>R-016</t>
        </is>
      </c>
      <c r="B27" s="26" t="inlineStr">
        <is>
          <t>Vendor</t>
        </is>
      </c>
      <c r="C27" s="26" t="inlineStr">
        <is>
          <t>Phụ thuộc bên thứ ba: cổng thanh toán (VNPay/MoMo/VietQR) và hạ tầng cloud/CDN; phí thiết lập/duy trì và SLA ngoài tầm kiểm soát</t>
        </is>
      </c>
      <c r="D27" s="26" t="inlineStr">
        <is>
          <t>Cổng thanh toán/hạ tầng gián đoạn hoặc đổi chính sách → ngừng giao dịch, ảnh hưởng NFR và chi phí</t>
        </is>
      </c>
      <c r="E27" s="26" t="inlineStr">
        <is>
          <t>Mitigate</t>
        </is>
      </c>
      <c r="F27" s="26" t="inlineStr">
        <is>
          <t>SLA rõ với nhà cung cấp; retry + fallback đa cổng; giám sát uptime và alert; dự phòng chi phí phí cổng</t>
        </is>
      </c>
      <c r="G27" s="26" t="inlineStr">
        <is>
          <t>OPS – Trần Hùng E</t>
        </is>
      </c>
      <c r="H27" s="26" t="inlineStr">
        <is>
          <t>Middle</t>
        </is>
      </c>
      <c r="I27" s="26" t="inlineStr">
        <is>
          <t>Middle</t>
        </is>
      </c>
      <c r="J27" s="27">
        <f>IF(OR(H27="",I27=""),"",IF(AND(H27="High",I27="Big"),"A",IF(AND(H27="High",I27="Middle"),"A",IF(AND(H27="High",I27="Small"),"B",IF(AND(H27="Middle",I27="Big"),"A",IF(AND(H27="Middle",I27="Middle"),"B",IF(AND(H27="Middle",I27="Small"),"C",IF(AND(H27="Low",I27="Big"),"B",IF(AND(H27="Low",I27="Middle"),"C",IF(AND(H27="Low",I27="Small"),"C",""))))))))))</f>
        <v/>
      </c>
      <c r="K27" s="26" t="n"/>
      <c r="L27" s="26" t="n"/>
      <c r="M27" s="27">
        <f>IF(OR(K27="",L27=""),"",IF(AND(K27="High",L27="Big"),"A",IF(AND(K27="High",L27="Middle"),"A",IF(AND(K27="High",L27="Small"),"B",IF(AND(K27="Middle",L27="Big"),"A",IF(AND(K27="Middle",L27="Middle"),"B",IF(AND(K27="Middle",L27="Small"),"C",IF(AND(K27="Low",L27="Big"),"B",IF(AND(K27="Low",L27="Middle"),"C",IF(AND(K27="Low",L27="Small"),"C",""))))))))))</f>
        <v/>
      </c>
      <c r="N27" s="26" t="inlineStr">
        <is>
          <t>Contingency: Tạm chuyển COD hoặc cổng dự phòng khi sự cố | Residual: Gián đoạn ngắn vẫn ảnh hưởng trải nghiệm khách</t>
        </is>
      </c>
      <c r="O27" s="26" t="inlineStr">
        <is>
          <t>F-R07; HSDT luồng thanh toán + kinh nghiệm VNPay Partner</t>
        </is>
      </c>
    </row>
    <row r="28" ht="28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7">
        <f>IF(OR(H28="",I28=""),"",IF(AND(H28="High",I28="Big"),"A",IF(AND(H28="High",I28="Middle"),"A",IF(AND(H28="High",I28="Small"),"B",IF(AND(H28="Middle",I28="Big"),"A",IF(AND(H28="Middle",I28="Middle"),"B",IF(AND(H28="Middle",I28="Small"),"C",IF(AND(H28="Low",I28="Big"),"B",IF(AND(H28="Low",I28="Middle"),"C",IF(AND(H28="Low",I28="Small"),"C",""))))))))))</f>
        <v/>
      </c>
      <c r="K28" s="26" t="n"/>
      <c r="L28" s="26" t="n"/>
      <c r="M28" s="27">
        <f>IF(OR(K28="",L28=""),"",IF(AND(K28="High",L28="Big"),"A",IF(AND(K28="High",L28="Middle"),"A",IF(AND(K28="High",L28="Small"),"B",IF(AND(K28="Middle",L28="Big"),"A",IF(AND(K28="Middle",L28="Middle"),"B",IF(AND(K28="Middle",L28="Small"),"C",IF(AND(K28="Low",L28="Big"),"B",IF(AND(K28="Low",L28="Middle"),"C",IF(AND(K28="Low",L28="Small"),"C",""))))))))))</f>
        <v/>
      </c>
      <c r="N28" s="26" t="n"/>
      <c r="O28" s="26" t="n"/>
    </row>
    <row r="29" ht="28" customHeight="1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7">
        <f>IF(OR(H29="",I29=""),"",IF(AND(H29="High",I29="Big"),"A",IF(AND(H29="High",I29="Middle"),"A",IF(AND(H29="High",I29="Small"),"B",IF(AND(H29="Middle",I29="Big"),"A",IF(AND(H29="Middle",I29="Middle"),"B",IF(AND(H29="Middle",I29="Small"),"C",IF(AND(H29="Low",I29="Big"),"B",IF(AND(H29="Low",I29="Middle"),"C",IF(AND(H29="Low",I29="Small"),"C",""))))))))))</f>
        <v/>
      </c>
      <c r="K29" s="26" t="n"/>
      <c r="L29" s="26" t="n"/>
      <c r="M29" s="27">
        <f>IF(OR(K29="",L29=""),"",IF(AND(K29="High",L29="Big"),"A",IF(AND(K29="High",L29="Middle"),"A",IF(AND(K29="High",L29="Small"),"B",IF(AND(K29="Middle",L29="Big"),"A",IF(AND(K29="Middle",L29="Middle"),"B",IF(AND(K29="Middle",L29="Small"),"C",IF(AND(K29="Low",L29="Big"),"B",IF(AND(K29="Low",L29="Middle"),"C",IF(AND(K29="Low",L29="Small"),"C",""))))))))))</f>
        <v/>
      </c>
      <c r="N29" s="26" t="n"/>
      <c r="O29" s="26" t="n"/>
    </row>
    <row r="30" ht="28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7">
        <f>IF(OR(H30="",I30=""),"",IF(AND(H30="High",I30="Big"),"A",IF(AND(H30="High",I30="Middle"),"A",IF(AND(H30="High",I30="Small"),"B",IF(AND(H30="Middle",I30="Big"),"A",IF(AND(H30="Middle",I30="Middle"),"B",IF(AND(H30="Middle",I30="Small"),"C",IF(AND(H30="Low",I30="Big"),"B",IF(AND(H30="Low",I30="Middle"),"C",IF(AND(H30="Low",I30="Small"),"C",""))))))))))</f>
        <v/>
      </c>
      <c r="K30" s="26" t="n"/>
      <c r="L30" s="26" t="n"/>
      <c r="M30" s="27">
        <f>IF(OR(K30="",L30=""),"",IF(AND(K30="High",L30="Big"),"A",IF(AND(K30="High",L30="Middle"),"A",IF(AND(K30="High",L30="Small"),"B",IF(AND(K30="Middle",L30="Big"),"A",IF(AND(K30="Middle",L30="Middle"),"B",IF(AND(K30="Middle",L30="Small"),"C",IF(AND(K30="Low",L30="Big"),"B",IF(AND(K30="Low",L30="Middle"),"C",IF(AND(K30="Low",L30="Small"),"C",""))))))))))</f>
        <v/>
      </c>
      <c r="N30" s="26" t="n"/>
      <c r="O30" s="26" t="n"/>
    </row>
    <row r="31" ht="28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7">
        <f>IF(OR(H31="",I31=""),"",IF(AND(H31="High",I31="Big"),"A",IF(AND(H31="High",I31="Middle"),"A",IF(AND(H31="High",I31="Small"),"B",IF(AND(H31="Middle",I31="Big"),"A",IF(AND(H31="Middle",I31="Middle"),"B",IF(AND(H31="Middle",I31="Small"),"C",IF(AND(H31="Low",I31="Big"),"B",IF(AND(H31="Low",I31="Middle"),"C",IF(AND(H31="Low",I31="Small"),"C",""))))))))))</f>
        <v/>
      </c>
      <c r="K31" s="26" t="n"/>
      <c r="L31" s="26" t="n"/>
      <c r="M31" s="27">
        <f>IF(OR(K31="",L31=""),"",IF(AND(K31="High",L31="Big"),"A",IF(AND(K31="High",L31="Middle"),"A",IF(AND(K31="High",L31="Small"),"B",IF(AND(K31="Middle",L31="Big"),"A",IF(AND(K31="Middle",L31="Middle"),"B",IF(AND(K31="Middle",L31="Small"),"C",IF(AND(K31="Low",L31="Big"),"B",IF(AND(K31="Low",L31="Middle"),"C",IF(AND(K31="Low",L31="Small"),"C",""))))))))))</f>
        <v/>
      </c>
      <c r="N31" s="26" t="n"/>
      <c r="O31" s="26" t="n"/>
    </row>
    <row r="32" ht="28" customHeight="1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7">
        <f>IF(OR(H32="",I32=""),"",IF(AND(H32="High",I32="Big"),"A",IF(AND(H32="High",I32="Middle"),"A",IF(AND(H32="High",I32="Small"),"B",IF(AND(H32="Middle",I32="Big"),"A",IF(AND(H32="Middle",I32="Middle"),"B",IF(AND(H32="Middle",I32="Small"),"C",IF(AND(H32="Low",I32="Big"),"B",IF(AND(H32="Low",I32="Middle"),"C",IF(AND(H32="Low",I32="Small"),"C",""))))))))))</f>
        <v/>
      </c>
      <c r="K32" s="26" t="n"/>
      <c r="L32" s="26" t="n"/>
      <c r="M32" s="27">
        <f>IF(OR(K32="",L32=""),"",IF(AND(K32="High",L32="Big"),"A",IF(AND(K32="High",L32="Middle"),"A",IF(AND(K32="High",L32="Small"),"B",IF(AND(K32="Middle",L32="Big"),"A",IF(AND(K32="Middle",L32="Middle"),"B",IF(AND(K32="Middle",L32="Small"),"C",IF(AND(K32="Low",L32="Big"),"B",IF(AND(K32="Low",L32="Middle"),"C",IF(AND(K32="Low",L32="Small"),"C",""))))))))))</f>
        <v/>
      </c>
      <c r="N32" s="26" t="n"/>
      <c r="O32" s="26" t="n"/>
    </row>
    <row r="33" ht="28" customHeight="1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7">
        <f>IF(OR(H33="",I33=""),"",IF(AND(H33="High",I33="Big"),"A",IF(AND(H33="High",I33="Middle"),"A",IF(AND(H33="High",I33="Small"),"B",IF(AND(H33="Middle",I33="Big"),"A",IF(AND(H33="Middle",I33="Middle"),"B",IF(AND(H33="Middle",I33="Small"),"C",IF(AND(H33="Low",I33="Big"),"B",IF(AND(H33="Low",I33="Middle"),"C",IF(AND(H33="Low",I33="Small"),"C",""))))))))))</f>
        <v/>
      </c>
      <c r="K33" s="26" t="n"/>
      <c r="L33" s="26" t="n"/>
      <c r="M33" s="27">
        <f>IF(OR(K33="",L33=""),"",IF(AND(K33="High",L33="Big"),"A",IF(AND(K33="High",L33="Middle"),"A",IF(AND(K33="High",L33="Small"),"B",IF(AND(K33="Middle",L33="Big"),"A",IF(AND(K33="Middle",L33="Middle"),"B",IF(AND(K33="Middle",L33="Small"),"C",IF(AND(K33="Low",L33="Big"),"B",IF(AND(K33="Low",L33="Middle"),"C",IF(AND(K33="Low",L33="Small"),"C",""))))))))))</f>
        <v/>
      </c>
      <c r="N33" s="26" t="n"/>
      <c r="O33" s="26" t="n"/>
    </row>
    <row r="34" ht="28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7">
        <f>IF(OR(H34="",I34=""),"",IF(AND(H34="High",I34="Big"),"A",IF(AND(H34="High",I34="Middle"),"A",IF(AND(H34="High",I34="Small"),"B",IF(AND(H34="Middle",I34="Big"),"A",IF(AND(H34="Middle",I34="Middle"),"B",IF(AND(H34="Middle",I34="Small"),"C",IF(AND(H34="Low",I34="Big"),"B",IF(AND(H34="Low",I34="Middle"),"C",IF(AND(H34="Low",I34="Small"),"C",""))))))))))</f>
        <v/>
      </c>
      <c r="K34" s="26" t="n"/>
      <c r="L34" s="26" t="n"/>
      <c r="M34" s="27">
        <f>IF(OR(K34="",L34=""),"",IF(AND(K34="High",L34="Big"),"A",IF(AND(K34="High",L34="Middle"),"A",IF(AND(K34="High",L34="Small"),"B",IF(AND(K34="Middle",L34="Big"),"A",IF(AND(K34="Middle",L34="Middle"),"B",IF(AND(K34="Middle",L34="Small"),"C",IF(AND(K34="Low",L34="Big"),"B",IF(AND(K34="Low",L34="Middle"),"C",IF(AND(K34="Low",L34="Small"),"C",""))))))))))</f>
        <v/>
      </c>
      <c r="N34" s="26" t="n"/>
      <c r="O34" s="26" t="n"/>
    </row>
    <row r="35" ht="28" customHeight="1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7">
        <f>IF(OR(H35="",I35=""),"",IF(AND(H35="High",I35="Big"),"A",IF(AND(H35="High",I35="Middle"),"A",IF(AND(H35="High",I35="Small"),"B",IF(AND(H35="Middle",I35="Big"),"A",IF(AND(H35="Middle",I35="Middle"),"B",IF(AND(H35="Middle",I35="Small"),"C",IF(AND(H35="Low",I35="Big"),"B",IF(AND(H35="Low",I35="Middle"),"C",IF(AND(H35="Low",I35="Small"),"C",""))))))))))</f>
        <v/>
      </c>
      <c r="K35" s="26" t="n"/>
      <c r="L35" s="26" t="n"/>
      <c r="M35" s="27">
        <f>IF(OR(K35="",L35=""),"",IF(AND(K35="High",L35="Big"),"A",IF(AND(K35="High",L35="Middle"),"A",IF(AND(K35="High",L35="Small"),"B",IF(AND(K35="Middle",L35="Big"),"A",IF(AND(K35="Middle",L35="Middle"),"B",IF(AND(K35="Middle",L35="Small"),"C",IF(AND(K35="Low",L35="Big"),"B",IF(AND(K35="Low",L35="Middle"),"C",IF(AND(K35="Low",L35="Small"),"C",""))))))))))</f>
        <v/>
      </c>
      <c r="N35" s="26" t="n"/>
      <c r="O35" s="26" t="n"/>
    </row>
    <row r="36" ht="28" customHeight="1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7">
        <f>IF(OR(H36="",I36=""),"",IF(AND(H36="High",I36="Big"),"A",IF(AND(H36="High",I36="Middle"),"A",IF(AND(H36="High",I36="Small"),"B",IF(AND(H36="Middle",I36="Big"),"A",IF(AND(H36="Middle",I36="Middle"),"B",IF(AND(H36="Middle",I36="Small"),"C",IF(AND(H36="Low",I36="Big"),"B",IF(AND(H36="Low",I36="Middle"),"C",IF(AND(H36="Low",I36="Small"),"C",""))))))))))</f>
        <v/>
      </c>
      <c r="K36" s="26" t="n"/>
      <c r="L36" s="26" t="n"/>
      <c r="M36" s="27">
        <f>IF(OR(K36="",L36=""),"",IF(AND(K36="High",L36="Big"),"A",IF(AND(K36="High",L36="Middle"),"A",IF(AND(K36="High",L36="Small"),"B",IF(AND(K36="Middle",L36="Big"),"A",IF(AND(K36="Middle",L36="Middle"),"B",IF(AND(K36="Middle",L36="Small"),"C",IF(AND(K36="Low",L36="Big"),"B",IF(AND(K36="Low",L36="Middle"),"C",IF(AND(K36="Low",L36="Small"),"C",""))))))))))</f>
        <v/>
      </c>
      <c r="N36" s="26" t="n"/>
      <c r="O36" s="26" t="n"/>
    </row>
    <row r="37" ht="28" customHeight="1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7">
        <f>IF(OR(H37="",I37=""),"",IF(AND(H37="High",I37="Big"),"A",IF(AND(H37="High",I37="Middle"),"A",IF(AND(H37="High",I37="Small"),"B",IF(AND(H37="Middle",I37="Big"),"A",IF(AND(H37="Middle",I37="Middle"),"B",IF(AND(H37="Middle",I37="Small"),"C",IF(AND(H37="Low",I37="Big"),"B",IF(AND(H37="Low",I37="Middle"),"C",IF(AND(H37="Low",I37="Small"),"C",""))))))))))</f>
        <v/>
      </c>
      <c r="K37" s="26" t="n"/>
      <c r="L37" s="26" t="n"/>
      <c r="M37" s="27">
        <f>IF(OR(K37="",L37=""),"",IF(AND(K37="High",L37="Big"),"A",IF(AND(K37="High",L37="Middle"),"A",IF(AND(K37="High",L37="Small"),"B",IF(AND(K37="Middle",L37="Big"),"A",IF(AND(K37="Middle",L37="Middle"),"B",IF(AND(K37="Middle",L37="Small"),"C",IF(AND(K37="Low",L37="Big"),"B",IF(AND(K37="Low",L37="Middle"),"C",IF(AND(K37="Low",L37="Small"),"C",""))))))))))</f>
        <v/>
      </c>
      <c r="N37" s="26" t="n"/>
      <c r="O37" s="26" t="n"/>
    </row>
    <row r="38" ht="28" customHeight="1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7">
        <f>IF(OR(H38="",I38=""),"",IF(AND(H38="High",I38="Big"),"A",IF(AND(H38="High",I38="Middle"),"A",IF(AND(H38="High",I38="Small"),"B",IF(AND(H38="Middle",I38="Big"),"A",IF(AND(H38="Middle",I38="Middle"),"B",IF(AND(H38="Middle",I38="Small"),"C",IF(AND(H38="Low",I38="Big"),"B",IF(AND(H38="Low",I38="Middle"),"C",IF(AND(H38="Low",I38="Small"),"C",""))))))))))</f>
        <v/>
      </c>
      <c r="K38" s="26" t="n"/>
      <c r="L38" s="26" t="n"/>
      <c r="M38" s="27">
        <f>IF(OR(K38="",L38=""),"",IF(AND(K38="High",L38="Big"),"A",IF(AND(K38="High",L38="Middle"),"A",IF(AND(K38="High",L38="Small"),"B",IF(AND(K38="Middle",L38="Big"),"A",IF(AND(K38="Middle",L38="Middle"),"B",IF(AND(K38="Middle",L38="Small"),"C",IF(AND(K38="Low",L38="Big"),"B",IF(AND(K38="Low",L38="Middle"),"C",IF(AND(K38="Low",L38="Small"),"C",""))))))))))</f>
        <v/>
      </c>
      <c r="N38" s="26" t="n"/>
      <c r="O38" s="26" t="n"/>
    </row>
    <row r="39" ht="28" customHeight="1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7">
        <f>IF(OR(H39="",I39=""),"",IF(AND(H39="High",I39="Big"),"A",IF(AND(H39="High",I39="Middle"),"A",IF(AND(H39="High",I39="Small"),"B",IF(AND(H39="Middle",I39="Big"),"A",IF(AND(H39="Middle",I39="Middle"),"B",IF(AND(H39="Middle",I39="Small"),"C",IF(AND(H39="Low",I39="Big"),"B",IF(AND(H39="Low",I39="Middle"),"C",IF(AND(H39="Low",I39="Small"),"C",""))))))))))</f>
        <v/>
      </c>
      <c r="K39" s="26" t="n"/>
      <c r="L39" s="26" t="n"/>
      <c r="M39" s="27">
        <f>IF(OR(K39="",L39=""),"",IF(AND(K39="High",L39="Big"),"A",IF(AND(K39="High",L39="Middle"),"A",IF(AND(K39="High",L39="Small"),"B",IF(AND(K39="Middle",L39="Big"),"A",IF(AND(K39="Middle",L39="Middle"),"B",IF(AND(K39="Middle",L39="Small"),"C",IF(AND(K39="Low",L39="Big"),"B",IF(AND(K39="Low",L39="Middle"),"C",IF(AND(K39="Low",L39="Small"),"C",""))))))))))</f>
        <v/>
      </c>
      <c r="N39" s="26" t="n"/>
      <c r="O39" s="26" t="n"/>
    </row>
    <row r="40" ht="28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7">
        <f>IF(OR(H40="",I40=""),"",IF(AND(H40="High",I40="Big"),"A",IF(AND(H40="High",I40="Middle"),"A",IF(AND(H40="High",I40="Small"),"B",IF(AND(H40="Middle",I40="Big"),"A",IF(AND(H40="Middle",I40="Middle"),"B",IF(AND(H40="Middle",I40="Small"),"C",IF(AND(H40="Low",I40="Big"),"B",IF(AND(H40="Low",I40="Middle"),"C",IF(AND(H40="Low",I40="Small"),"C",""))))))))))</f>
        <v/>
      </c>
      <c r="K40" s="26" t="n"/>
      <c r="L40" s="26" t="n"/>
      <c r="M40" s="27">
        <f>IF(OR(K40="",L40=""),"",IF(AND(K40="High",L40="Big"),"A",IF(AND(K40="High",L40="Middle"),"A",IF(AND(K40="High",L40="Small"),"B",IF(AND(K40="Middle",L40="Big"),"A",IF(AND(K40="Middle",L40="Middle"),"B",IF(AND(K40="Middle",L40="Small"),"C",IF(AND(K40="Low",L40="Big"),"B",IF(AND(K40="Low",L40="Middle"),"C",IF(AND(K40="Low",L40="Small"),"C",""))))))))))</f>
        <v/>
      </c>
      <c r="N40" s="26" t="n"/>
      <c r="O40" s="26" t="n"/>
    </row>
    <row r="41" ht="28" customHeight="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7">
        <f>IF(OR(H41="",I41=""),"",IF(AND(H41="High",I41="Big"),"A",IF(AND(H41="High",I41="Middle"),"A",IF(AND(H41="High",I41="Small"),"B",IF(AND(H41="Middle",I41="Big"),"A",IF(AND(H41="Middle",I41="Middle"),"B",IF(AND(H41="Middle",I41="Small"),"C",IF(AND(H41="Low",I41="Big"),"B",IF(AND(H41="Low",I41="Middle"),"C",IF(AND(H41="Low",I41="Small"),"C",""))))))))))</f>
        <v/>
      </c>
      <c r="K41" s="26" t="n"/>
      <c r="L41" s="26" t="n"/>
      <c r="M41" s="27">
        <f>IF(OR(K41="",L41=""),"",IF(AND(K41="High",L41="Big"),"A",IF(AND(K41="High",L41="Middle"),"A",IF(AND(K41="High",L41="Small"),"B",IF(AND(K41="Middle",L41="Big"),"A",IF(AND(K41="Middle",L41="Middle"),"B",IF(AND(K41="Middle",L41="Small"),"C",IF(AND(K41="Low",L41="Big"),"B",IF(AND(K41="Low",L41="Middle"),"C",IF(AND(K41="Low",L41="Small"),"C",""))))))))))</f>
        <v/>
      </c>
      <c r="N41" s="26" t="n"/>
      <c r="O41" s="26" t="n"/>
    </row>
    <row r="43">
      <c r="A43" s="28" t="inlineStr">
        <is>
          <t>* Initial = đánh giá lúc nhận diện. Current = đánh giá lại sau khi thực hiện ứng phó (residual). Priority tự tính từ P×I theo ma trận phía trên — không sửa tay.</t>
        </is>
      </c>
    </row>
  </sheetData>
  <mergeCells count="11">
    <mergeCell ref="H10:J10"/>
    <mergeCell ref="A43:O43"/>
    <mergeCell ref="G5:L5"/>
    <mergeCell ref="K10:M10"/>
    <mergeCell ref="A4:D4"/>
    <mergeCell ref="G6:L6"/>
    <mergeCell ref="A1:L1"/>
    <mergeCell ref="G9:L9"/>
    <mergeCell ref="F4:L4"/>
    <mergeCell ref="G8:L8"/>
    <mergeCell ref="G7:L7"/>
  </mergeCells>
  <conditionalFormatting sqref="J12:J41">
    <cfRule type="expression" priority="1" dxfId="0">
      <formula>$J12="A"</formula>
    </cfRule>
    <cfRule type="expression" priority="2" dxfId="1">
      <formula>$J12="B"</formula>
    </cfRule>
    <cfRule type="expression" priority="3" dxfId="2">
      <formula>$J12="C"</formula>
    </cfRule>
  </conditionalFormatting>
  <conditionalFormatting sqref="M12:M41">
    <cfRule type="expression" priority="4" dxfId="0">
      <formula>$M12="A"</formula>
    </cfRule>
    <cfRule type="expression" priority="5" dxfId="1">
      <formula>$M12="B"</formula>
    </cfRule>
    <cfRule type="expression" priority="6" dxfId="2">
      <formula>$M12="C"</formula>
    </cfRule>
  </conditionalFormatting>
  <dataValidations count="4">
    <dataValidation sqref="H12:H41 K12:K41" showDropDown="0" showInputMessage="0" showErrorMessage="0" allowBlank="1" type="list">
      <formula1>=Values!$A$2:$A$4</formula1>
    </dataValidation>
    <dataValidation sqref="I12:I41 L12:L41" showDropDown="0" showInputMessage="0" showErrorMessage="0" allowBlank="1" type="list">
      <formula1>=Values!$B$2:$B$4</formula1>
    </dataValidation>
    <dataValidation sqref="E12:E41" showDropDown="0" showInputMessage="0" showErrorMessage="0" allowBlank="1" type="list">
      <formula1>=Values!$C$2:$C$5</formula1>
    </dataValidation>
    <dataValidation sqref="B12:B41" showDropDown="0" showInputMessage="0" showErrorMessage="0" allowBlank="1" type="list">
      <formula1>=Values!$D$2:$D$20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(mẫu trống — đã tạo 16 phiếu: xem các sheet R-xxx)</t>
        </is>
      </c>
    </row>
    <row r="3">
      <c r="A3" s="11" t="inlineStr">
        <is>
          <t>Risk ID</t>
        </is>
      </c>
      <c r="B3" s="6" t="inlineStr"/>
      <c r="C3" s="11" t="inlineStr">
        <is>
          <t>Category</t>
        </is>
      </c>
      <c r="D3" s="6" t="inlineStr"/>
    </row>
    <row r="4">
      <c r="A4" s="11" t="inlineStr">
        <is>
          <t>Probability</t>
        </is>
      </c>
      <c r="B4" s="6" t="inlineStr"/>
      <c r="C4" s="11" t="inlineStr">
        <is>
          <t>Impact</t>
        </is>
      </c>
      <c r="D4" s="6" t="inlineStr"/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/>
    </row>
    <row r="6">
      <c r="A6" s="11" t="inlineStr">
        <is>
          <t>Owner</t>
        </is>
      </c>
      <c r="B6" s="6" t="inlineStr"/>
      <c r="C6" s="11" t="n"/>
      <c r="D6" s="6" t="n"/>
    </row>
    <row r="8">
      <c r="A8" s="7" t="inlineStr">
        <is>
          <t>Driver</t>
        </is>
      </c>
    </row>
    <row r="9">
      <c r="A9" s="6" t="n"/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n"/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n"/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n"/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conditionalFormatting sqref="B5">
    <cfRule type="expression" priority="1" dxfId="0">
      <formula>$B$5="A"</formula>
    </cfRule>
    <cfRule type="expression" priority="2" dxfId="1">
      <formula>$B$5="B"</formula>
    </cfRule>
    <cfRule type="expression" priority="3" dxfId="2">
      <formula>$B$5="C"</formula>
    </cfRule>
  </conditionalFormatting>
  <dataValidations count="3">
    <dataValidation sqref="B4" showDropDown="0" showInputMessage="0" showErrorMessage="0" allowBlank="1" type="list">
      <formula1>=Values!$A$2:$A$4</formula1>
    </dataValidation>
    <dataValidation sqref="D4" showDropDown="0" showInputMessage="0" showErrorMessage="0" allowBlank="1" type="list">
      <formula1>=Values!$B$2:$B$4</formula1>
    </dataValidation>
    <dataValidation sqref="D5" showDropDown="0" showInputMessage="0" showErrorMessage="0" allowBlank="1" type="list">
      <formula1>=Values!$C$2:$C$5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R-001</t>
        </is>
      </c>
    </row>
    <row r="3">
      <c r="A3" s="11" t="inlineStr">
        <is>
          <t>Risk ID</t>
        </is>
      </c>
      <c r="B3" s="6" t="inlineStr">
        <is>
          <t>R-001</t>
        </is>
      </c>
      <c r="C3" s="11" t="inlineStr">
        <is>
          <t>Category</t>
        </is>
      </c>
      <c r="D3" s="6" t="inlineStr">
        <is>
          <t>System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BA – Đinh Đức Thắng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Yêu cầu nghiệp vụ chưa chốt đủ trước khi thiết kế (SRS duyệt muộn 10/07/2026, thiết kế bắt đầu 03/07/2026)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Rework và trễ tiến độ phân tích/thiết kế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Chốt SRS có chữ ký 10/07/2026 (WBS 2.5); freeze change sau mốc; change qua Change Management Plan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Buffer 2 tuần trước cut-over | Change nhỏ vẫn có thể phát sinh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R-002</t>
        </is>
      </c>
    </row>
    <row r="3">
      <c r="A3" s="11" t="inlineStr">
        <is>
          <t>Risk ID</t>
        </is>
      </c>
      <c r="B3" s="6" t="inlineStr">
        <is>
          <t>R-002</t>
        </is>
      </c>
      <c r="C3" s="11" t="inlineStr">
        <is>
          <t>Category</t>
        </is>
      </c>
      <c r="D3" s="6" t="inlineStr">
        <is>
          <t>Technical</t>
        </is>
      </c>
    </row>
    <row r="4">
      <c r="A4" s="11" t="inlineStr">
        <is>
          <t>Probability</t>
        </is>
      </c>
      <c r="B4" s="6" t="inlineStr">
        <is>
          <t>High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SA – Nguyễn Hải Đăng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Tích hợp Main System/Logistics qua Integration Middleware + VPN IPSec, 05 luồng đồng bộ; không được nối trực tiếp Main DB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Trễ kiểm thử tích hợp (SIT) và go-live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Prototype middleware sớm trong giai đoạn xây dựng (WBS 4.5: 21/08–09/09); staging đủ dữ liệu; contract test 05 luồng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Feature flag/rollback; go-live từng phần | Một số API Main System chậm vẫn ảnh hưởng NFR P95 | Phụ thuộc team Main System ABC Wear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R-003</t>
        </is>
      </c>
    </row>
    <row r="3">
      <c r="A3" s="11" t="inlineStr">
        <is>
          <t>Risk ID</t>
        </is>
      </c>
      <c r="B3" s="6" t="inlineStr">
        <is>
          <t>R-003</t>
        </is>
      </c>
      <c r="C3" s="11" t="inlineStr">
        <is>
          <t>Category</t>
        </is>
      </c>
      <c r="D3" s="6" t="inlineStr">
        <is>
          <t>Organization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End-user/nghiệp vụ ABC Wear tham gia hạn chế; UAT chỉ 21–25/09/2026 sát go-live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Thiếu nhu cầu thực tế, UAT fail, trễ go-live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Lịch workshop bắt buộc; đại diện nghiệp vụ/ key users trong UAT; test case ký trước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Gia hạn UAT 1 tuần (ảnh hưởng go-live → Sponsor)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R-004</t>
        </is>
      </c>
    </row>
    <row r="3">
      <c r="A3" s="11" t="inlineStr">
        <is>
          <t>Risk ID</t>
        </is>
      </c>
      <c r="B3" s="6" t="inlineStr">
        <is>
          <t>R-004</t>
        </is>
      </c>
      <c r="C3" s="11" t="inlineStr">
        <is>
          <t>Category</t>
        </is>
      </c>
      <c r="D3" s="6" t="inlineStr">
        <is>
          <t>Technical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SA – Nguyễn Hải Đăng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Giải pháp/kiến trúc phải tự phát triển (Next.js SSR/SSG, Multi-AZ, PostgreSQL Master-Replica, Redis, CDN) khó đáp ứng yêu cầu đặc thù nếu dùng lại thành phần có sẵn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Không đáp ứng đủ yêu cầu nghiệp vụ đặc thù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Spike kỹ thuật đầu giai đoạn thiết kế (WBS 3.x); phương án fallback tự phát triển module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n"/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R-005</t>
        </is>
      </c>
    </row>
    <row r="3">
      <c r="A3" s="11" t="inlineStr">
        <is>
          <t>Risk ID</t>
        </is>
      </c>
      <c r="B3" s="6" t="inlineStr">
        <is>
          <t>R-005</t>
        </is>
      </c>
      <c r="C3" s="11" t="inlineStr">
        <is>
          <t>Category</t>
        </is>
      </c>
      <c r="D3" s="6" t="inlineStr">
        <is>
          <t>Organization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Khối lượng 3.684 giờ trong ~6 tháng với 10 nhân sự chủ chốt; tải bắt buộc tăng cường 03 DEV và 02 QC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Tiến độ dự án bị chậm do thiếu/thay đổi nhân sự chủ chốt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Tuyển/borrow nhân sự dự phòng; ưu tiên critical path; cross-training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n"/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R-006</t>
        </is>
      </c>
    </row>
    <row r="3">
      <c r="A3" s="11" t="inlineStr">
        <is>
          <t>Risk ID</t>
        </is>
      </c>
      <c r="B3" s="6" t="inlineStr">
        <is>
          <t>R-006</t>
        </is>
      </c>
      <c r="C3" s="11" t="inlineStr">
        <is>
          <t>Category</t>
        </is>
      </c>
      <c r="D3" s="6" t="inlineStr">
        <is>
          <t>System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Lệch baseline lịch giữa các nguồn: HSDT 25/11/2026, WBS 01/10/2026, RFP/HSMT 01/07 (2027), Master Schedule 28/10/2026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Tranh chấp mốc go-live/nghiệm thu, trễ bàn giao hoặc bị phạt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Chốt 01 baseline duy nhất = WBS (Decision Q-R01); cập nhật HSDT/Master Schedule cho khớp; ghi rõ trong biên bản với ABC Wear; mọi đổi mốc phải qua Change Request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Nếu bị ép mốc 01/07 → apply Change Request + cost/schedule impact | Vẫn có rủi ro tranh cãi hợp đồng | Phát sinh issue thay đổi phạm vi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R-007</t>
        </is>
      </c>
    </row>
    <row r="3">
      <c r="A3" s="11" t="inlineStr">
        <is>
          <t>Risk ID</t>
        </is>
      </c>
      <c r="B3" s="6" t="inlineStr">
        <is>
          <t>R-007</t>
        </is>
      </c>
      <c r="C3" s="11" t="inlineStr">
        <is>
          <t>Category</t>
        </is>
      </c>
      <c r="D3" s="6" t="inlineStr">
        <is>
          <t>Technical</t>
        </is>
      </c>
    </row>
    <row r="4">
      <c r="A4" s="11" t="inlineStr">
        <is>
          <t>Probability</t>
        </is>
      </c>
      <c r="B4" s="6" t="inlineStr">
        <is>
          <t>High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QC1 – Nguyễn Hữu C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Cửa sổ kiểm thử bị nén: xây dựng kết thúc 11/09, SIT 14–21/09, hiệu năng 14–22/09, ATTT 18–22/09, UAT 21–25/09, go-live 01/10 — không có buffer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Lỗi nghiêm trọng phát hiện muộn, trượt go-live 01/10/2026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Dịch chuyển kiểm thử sớm (shift-left) song song xây dựng; tự động hóa regression; freeze code trước SIT; ưu tiên luồng đặt hàng–thanh toán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Cut-over một phần + hotfix sau go-live | Một số lỗi nhỏ tồn đọng vào hypercare | Tăng chi phí sửa lỗi ngoài kế hoạch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R-008</t>
        </is>
      </c>
    </row>
    <row r="3">
      <c r="A3" s="11" t="inlineStr">
        <is>
          <t>Risk ID</t>
        </is>
      </c>
      <c r="B3" s="6" t="inlineStr">
        <is>
          <t>R-008</t>
        </is>
      </c>
      <c r="C3" s="11" t="inlineStr">
        <is>
          <t>Category</t>
        </is>
      </c>
      <c r="D3" s="6" t="inlineStr">
        <is>
          <t>Organization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Hợp đồng trọn gói, giá cố định 897.600.000 VNĐ (đã VAT); cân đối dương chỉ +264.000 VNĐ; không phát sinh thanh toán ngoài hạng mục đã chào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Phát sinh khối lượng/chi phí (OT, sửa lỗi, hạ tầng) làm dự án lỗ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Kiểm soát change chặt theo Change Management Plan; log giờ theo WBS 3.684 giờ; cảnh báo sớm lệch estimate; đàm phán phụ lục khi vượt phạm vi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Contingency budgeting (chờ Q-R03) + phụ lục hợp đồng | Chi phí cơ hội/ lợi nhuận mỏng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R-009</t>
        </is>
      </c>
    </row>
    <row r="3">
      <c r="A3" s="11" t="inlineStr">
        <is>
          <t>Risk ID</t>
        </is>
      </c>
      <c r="B3" s="6" t="inlineStr">
        <is>
          <t>R-009</t>
        </is>
      </c>
      <c r="C3" s="11" t="inlineStr">
        <is>
          <t>Category</t>
        </is>
      </c>
      <c r="D3" s="6" t="inlineStr">
        <is>
          <t>Technical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DEV3 – Nguyễn Ngọc B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Luồng thanh toán phức tạp: thẻ/ví/QR/COD, VNPay/MoMo/VietQR, callback/IPN, giao dịch treo, hoàn tiền, đối soát hằng ngày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Sai/treo giao dịch, hoàn tiền chậm, lệch đối soát → khiếu nại khách hàng, mất doanh thu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Idempotency + retry cho IPN; đối soát tự động hằng ngày; test case giao dịch treo/hoàn tiền; giám sát alert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Đối soát thủ công tạm thời + đối chiếu với cổng thanh toán | Một số giao dịch hiếm vẫn cần xử lý tay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R-010</t>
        </is>
      </c>
    </row>
    <row r="3">
      <c r="A3" s="11" t="inlineStr">
        <is>
          <t>Risk ID</t>
        </is>
      </c>
      <c r="B3" s="6" t="inlineStr">
        <is>
          <t>R-010</t>
        </is>
      </c>
      <c r="C3" s="11" t="inlineStr">
        <is>
          <t>Category</t>
        </is>
      </c>
      <c r="D3" s="6" t="inlineStr">
        <is>
          <t>Regulatory</t>
        </is>
      </c>
    </row>
    <row r="4">
      <c r="A4" s="11" t="inlineStr">
        <is>
          <t>Probability</t>
        </is>
      </c>
      <c r="B4" s="6" t="inlineStr">
        <is>
          <t>Low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SA – Nguyễn Hải Đăng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Xử lý dữ liệu cá nhân khách hàng (đăng ký, OTP, sổ địa chỉ, lịch sử mua) theo NĐ 13/2023/NĐ-CP và yêu cầu ATTT (OWASP)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Chế tài/vi phạm bảo vệ dữ liệu cá nhân; sự cố rò rỉ dữ liệu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Thiết kế bảo mật (WBS 3.1.3); mã hóa dữ liệu nhạy cảm; phân quyền; quét OWASP ZAP trước go-live; ghi nhận consent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Kế hoạch ứng cứu sự cố + thông báo cơ quan theo quy định | Rủi ro pháp lý nền luôn tồn tại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R-011</t>
        </is>
      </c>
    </row>
    <row r="3">
      <c r="A3" s="11" t="inlineStr">
        <is>
          <t>Risk ID</t>
        </is>
      </c>
      <c r="B3" s="6" t="inlineStr">
        <is>
          <t>R-011</t>
        </is>
      </c>
      <c r="C3" s="11" t="inlineStr">
        <is>
          <t>Category</t>
        </is>
      </c>
      <c r="D3" s="6" t="inlineStr">
        <is>
          <t>System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OPS – Trần Hùng E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Phụ thuộc sẵn sàng hạ tầng/API Main System, môi trường VPN IPSec và dữ liệu do ABC Wear cung cấp — FYI: hàng chờ môi trường, thủ tục mạng nội bộ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Chậm bàn giao môi trường/truy cập → trễ tích hợp và kiểm thử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Kế hoạch yêu cầu môi trường/truy cập theo mốc WBS ngay từ kickoff; đầu mối kỹ thuật ABC Wear; checklist hạ tầng ký trước 21/08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Môi trường mock/sandbox để phát triển song song | Vẫn phụ thuộc bên thứ ba | Lệch cấu hình giữa mock và thật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R-012</t>
        </is>
      </c>
    </row>
    <row r="3">
      <c r="A3" s="11" t="inlineStr">
        <is>
          <t>Risk ID</t>
        </is>
      </c>
      <c r="B3" s="6" t="inlineStr">
        <is>
          <t>R-012</t>
        </is>
      </c>
      <c r="C3" s="11" t="inlineStr">
        <is>
          <t>Category</t>
        </is>
      </c>
      <c r="D3" s="6" t="inlineStr">
        <is>
          <t>Organization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Small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Accept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Cam kết bảo hành toàn diện 12 tháng + hỗ trợ 24/7 sau nghiệm thu, ngoài khoảng thời gian báo giá dự án (22/06–30/10/2026)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Chi phí hỗ trợ/bảo hành phát sinh sau nghiệm thu làm giảm lợi nhuận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Theo dõi ticket trong 12 tháng; phân loại lỗi thật (do nhà thầu) vs yêu cầu mới; ghi nhận để cải tiến ước lượng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Phụ lục hỗ trợ mở rộng nếu ABC Wear yêu cầu ngoài cam kết | Một số lỗi logic phải sửa miễn phí theo hợp đồng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R-013</t>
        </is>
      </c>
    </row>
    <row r="3">
      <c r="A3" s="11" t="inlineStr">
        <is>
          <t>Risk ID</t>
        </is>
      </c>
      <c r="B3" s="6" t="inlineStr">
        <is>
          <t>R-013</t>
        </is>
      </c>
      <c r="C3" s="11" t="inlineStr">
        <is>
          <t>Category</t>
        </is>
      </c>
      <c r="D3" s="6" t="inlineStr">
        <is>
          <t>System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Small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Chất lượng dữ liệu baseline: file WBS có ô lỗi công thức (#REF!/#ERROR!/#NAME?) và mã WBS sai dạng ngày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Báo cáo tiến độ/baseline sai, đánh giá lệch tiến độ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Làm sạch WBS trước khi chốt baseline; kiểm tra chéo WBS–Master Schedule; PM review dữ liệu hằng tuần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Báo cáo tiến độ bằng nguồn chuẩn hoá (Master Plan) | Sai số nhỏ trong báo cáo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R-014</t>
        </is>
      </c>
    </row>
    <row r="3">
      <c r="A3" s="11" t="inlineStr">
        <is>
          <t>Risk ID</t>
        </is>
      </c>
      <c r="B3" s="6" t="inlineStr">
        <is>
          <t>R-014</t>
        </is>
      </c>
      <c r="C3" s="11" t="inlineStr">
        <is>
          <t>Category</t>
        </is>
      </c>
      <c r="D3" s="6" t="inlineStr">
        <is>
          <t>Vendor</t>
        </is>
      </c>
    </row>
    <row r="4">
      <c r="A4" s="11" t="inlineStr">
        <is>
          <t>Probability</t>
        </is>
      </c>
      <c r="B4" s="6" t="inlineStr">
        <is>
          <t>Low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Accept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Thuê ngoài/thầu phụ phải được ABC Wear cho phép bằng văn bản; hạn mức thầu phụ 20% giá gói thầu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Chậm nguồn lực hoặc không được chấp thuận → trễ tiến độ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Chủ động triển khai trong nội bộ 10 nhân sự; nếu cần thầu phụ thì xin phép sớm và ≤20%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Kế hoạch nhân sự dự phòng nội bộ | Phụ thuộc phê duyệt của Chủ đầu tư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R-015</t>
        </is>
      </c>
    </row>
    <row r="3">
      <c r="A3" s="11" t="inlineStr">
        <is>
          <t>Risk ID</t>
        </is>
      </c>
      <c r="B3" s="6" t="inlineStr">
        <is>
          <t>R-015</t>
        </is>
      </c>
      <c r="C3" s="11" t="inlineStr">
        <is>
          <t>Category</t>
        </is>
      </c>
      <c r="D3" s="6" t="inlineStr">
        <is>
          <t>Regulatory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Big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PM – Nguyễn Đức Tân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Không nhất quán bảo đảm dự thầu: HSMT 18.9 ghi 'Không áp dụng' trong khi HSDT có BĐDT 1% (8.976.000 VNĐ); nội bộ HSDT mâu thuẫn hiệu lực (180 ngày từ 15/06/2026 vs 6 tháng từ 01/06/2026)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Hồ sơ không nhất quán → rủi ro pháp lý/đấu thầu và tranh chấp khi ký hợp đồng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Theo Decision Q-R08 (ưu tiên HSDT): cập nhật HSMT 18.9/18.2 sang Áp dụng, giá trị 8.976.000 VNĐ; sửa hiệu lực BĐDT cho nhất quán; lấy xác nhận văn bản của ABC Wear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Gia hạn/điều chỉnh thư bảo lãnh BIDV Hà Thành khi được yêu cầu | Chi phí/gia hạn BĐDT có thể phát sinh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RISK ANALYSIS WORKSHEET — R-016</t>
        </is>
      </c>
    </row>
    <row r="3">
      <c r="A3" s="11" t="inlineStr">
        <is>
          <t>Risk ID</t>
        </is>
      </c>
      <c r="B3" s="6" t="inlineStr">
        <is>
          <t>R-016</t>
        </is>
      </c>
      <c r="C3" s="11" t="inlineStr">
        <is>
          <t>Category</t>
        </is>
      </c>
      <c r="D3" s="6" t="inlineStr">
        <is>
          <t>Vendor</t>
        </is>
      </c>
    </row>
    <row r="4">
      <c r="A4" s="11" t="inlineStr">
        <is>
          <t>Probability</t>
        </is>
      </c>
      <c r="B4" s="6" t="inlineStr">
        <is>
          <t>Middle</t>
        </is>
      </c>
      <c r="C4" s="11" t="inlineStr">
        <is>
          <t>Impact</t>
        </is>
      </c>
      <c r="D4" s="6" t="inlineStr">
        <is>
          <t>Middle</t>
        </is>
      </c>
    </row>
    <row r="5">
      <c r="A5" s="11" t="inlineStr">
        <is>
          <t>Priority</t>
        </is>
      </c>
      <c r="B5" s="6">
        <f>IF(OR(B4="",D4=""),"",IF(AND(B4="High",D4="Big"),"A",IF(AND(B4="High",D4="Middle"),"A",IF(AND(B4="High",D4="Small"),"B",IF(AND(B4="Middle",D4="Big"),"A",IF(AND(B4="Middle",D4="Middle"),"B",IF(AND(B4="Middle",D4="Small"),"C",IF(AND(B4="Low",D4="Big"),"B",IF(AND(B4="Low",D4="Middle"),"C",IF(AND(B4="Low",D4="Small"),"C",""))))))))))</f>
        <v/>
      </c>
      <c r="C5" s="11" t="inlineStr">
        <is>
          <t>Strategy</t>
        </is>
      </c>
      <c r="D5" s="6" t="inlineStr">
        <is>
          <t>Mitigate</t>
        </is>
      </c>
    </row>
    <row r="6">
      <c r="A6" s="11" t="inlineStr">
        <is>
          <t>Owner</t>
        </is>
      </c>
      <c r="B6" s="6" t="inlineStr">
        <is>
          <t>OPS – Trần Hùng E</t>
        </is>
      </c>
      <c r="C6" s="11" t="n"/>
      <c r="D6" s="6" t="n"/>
    </row>
    <row r="8">
      <c r="A8" s="7" t="inlineStr">
        <is>
          <t>Driver</t>
        </is>
      </c>
    </row>
    <row r="9">
      <c r="A9" s="6" t="inlineStr">
        <is>
          <t>Phụ thuộc bên thứ ba: cổng thanh toán (VNPay/MoMo/VietQR) và hạ tầng cloud/CDN; phí thiết lập/duy trì và SLA ngoài tầm kiểm soát</t>
        </is>
      </c>
      <c r="B9" s="35" t="n"/>
      <c r="C9" s="35" t="n"/>
      <c r="D9" s="35" t="n"/>
      <c r="E9" s="35" t="n"/>
      <c r="F9" s="31" t="n"/>
    </row>
    <row r="10">
      <c r="A10" s="32" t="n"/>
      <c r="B10" s="36" t="n"/>
      <c r="C10" s="36" t="n"/>
      <c r="D10" s="36" t="n"/>
      <c r="E10" s="36" t="n"/>
      <c r="F10" s="33" t="n"/>
    </row>
    <row r="11">
      <c r="A11" s="7" t="inlineStr">
        <is>
          <t>Risk statement</t>
        </is>
      </c>
    </row>
    <row r="12">
      <c r="A12" s="6" t="inlineStr">
        <is>
          <t>Cổng thanh toán/hạ tầng gián đoạn hoặc đổi chính sách → ngừng giao dịch, ảnh hưởng NFR và chi phí</t>
        </is>
      </c>
      <c r="B12" s="35" t="n"/>
      <c r="C12" s="35" t="n"/>
      <c r="D12" s="35" t="n"/>
      <c r="E12" s="35" t="n"/>
      <c r="F12" s="31" t="n"/>
    </row>
    <row r="13">
      <c r="A13" s="32" t="n"/>
      <c r="B13" s="36" t="n"/>
      <c r="C13" s="36" t="n"/>
      <c r="D13" s="36" t="n"/>
      <c r="E13" s="36" t="n"/>
      <c r="F13" s="33" t="n"/>
    </row>
    <row r="14">
      <c r="A14" s="7" t="inlineStr">
        <is>
          <t>Trigger</t>
        </is>
      </c>
    </row>
    <row r="15">
      <c r="A15" s="6" t="n"/>
      <c r="B15" s="35" t="n"/>
      <c r="C15" s="35" t="n"/>
      <c r="D15" s="35" t="n"/>
      <c r="E15" s="35" t="n"/>
      <c r="F15" s="31" t="n"/>
    </row>
    <row r="16">
      <c r="A16" s="32" t="n"/>
      <c r="B16" s="36" t="n"/>
      <c r="C16" s="36" t="n"/>
      <c r="D16" s="36" t="n"/>
      <c r="E16" s="36" t="n"/>
      <c r="F16" s="33" t="n"/>
    </row>
    <row r="17">
      <c r="A17" s="7" t="inlineStr">
        <is>
          <t>Response actions</t>
        </is>
      </c>
    </row>
    <row r="18">
      <c r="A18" s="6" t="inlineStr">
        <is>
          <t>SLA rõ với nhà cung cấp; retry + fallback đa cổng; giám sát uptime và alert; dự phòng chi phí phí cổng</t>
        </is>
      </c>
      <c r="B18" s="35" t="n"/>
      <c r="C18" s="35" t="n"/>
      <c r="D18" s="35" t="n"/>
      <c r="E18" s="35" t="n"/>
      <c r="F18" s="31" t="n"/>
    </row>
    <row r="19">
      <c r="A19" s="32" t="n"/>
      <c r="B19" s="36" t="n"/>
      <c r="C19" s="36" t="n"/>
      <c r="D19" s="36" t="n"/>
      <c r="E19" s="36" t="n"/>
      <c r="F19" s="33" t="n"/>
    </row>
    <row r="20">
      <c r="A20" s="7" t="inlineStr">
        <is>
          <t>Follow-up / Contingency</t>
        </is>
      </c>
    </row>
    <row r="21">
      <c r="A21" s="6" t="inlineStr">
        <is>
          <t>Tạm chuyển COD hoặc cổng dự phòng khi sự cố | Gián đoạn ngắn vẫn ảnh hưởng trải nghiệm khách</t>
        </is>
      </c>
      <c r="B21" s="35" t="n"/>
      <c r="C21" s="35" t="n"/>
      <c r="D21" s="35" t="n"/>
      <c r="E21" s="35" t="n"/>
      <c r="F21" s="31" t="n"/>
    </row>
    <row r="22">
      <c r="A22" s="32" t="n"/>
      <c r="B22" s="36" t="n"/>
      <c r="C22" s="36" t="n"/>
      <c r="D22" s="36" t="n"/>
      <c r="E22" s="36" t="n"/>
      <c r="F22" s="33" t="n"/>
    </row>
  </sheetData>
  <mergeCells count="11">
    <mergeCell ref="A11:F11"/>
    <mergeCell ref="A18:F19"/>
    <mergeCell ref="A14:F14"/>
    <mergeCell ref="A1:F1"/>
    <mergeCell ref="A21:F22"/>
    <mergeCell ref="A8:F8"/>
    <mergeCell ref="A9:F10"/>
    <mergeCell ref="A17:F17"/>
    <mergeCell ref="A12:F13"/>
    <mergeCell ref="A20:F20"/>
    <mergeCell ref="A15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2026-10-16T18:24:35Z</dcterms:created>
  <dcterms:modified xmlns:dcterms="http://purl.org/dc/terms/" xmlns:xsi="http://www.w3.org/2001/XMLSchema-instance" xsi:type="dcterms:W3CDTF">2026-10-17T02:29:52Z</dcterms:modified>
</cp:coreProperties>
</file>